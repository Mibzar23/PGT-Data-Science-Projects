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uniofnottm-my.sharepoint.com/personal/psxmt14_nottingham_ac_uk/Documents/University of Nottingham - MSc Data Science/Linear and Discrete Optimization/Final Coursework/"/>
    </mc:Choice>
  </mc:AlternateContent>
  <xr:revisionPtr revIDLastSave="445209" documentId="11_F25DC773A252ABDACC104840515D6EEA5BDE58EE" xr6:coauthVersionLast="47" xr6:coauthVersionMax="47" xr10:uidLastSave="{2657A0C7-A9E8-4679-81A0-445A53CD0117}"/>
  <bookViews>
    <workbookView xWindow="1330" yWindow="1410" windowWidth="15450" windowHeight="11170" xr2:uid="{00000000-000D-0000-FFFF-FFFF00000000}"/>
  </bookViews>
  <sheets>
    <sheet name="Lost Baggage" sheetId="22" r:id="rId1"/>
  </sheets>
  <definedNames>
    <definedName name="OpenSolver_ChosenSolver" localSheetId="0" hidden="1">CBC</definedName>
    <definedName name="OpenSolver_DualsNewSheet" localSheetId="0" hidden="1">0</definedName>
    <definedName name="OpenSolver_LinearityCheck" localSheetId="0" hidden="1">1</definedName>
    <definedName name="OpenSolver_UpdateSensitivity" localSheetId="0" hidden="1">1</definedName>
    <definedName name="solver_adj" localSheetId="0" hidden="1">'Lost Baggage'!$T$5:$AH$19,'Lost Baggage'!$AN$5:$BB$19,'Lost Baggage'!$BJ$6</definedName>
    <definedName name="solver_cvg" localSheetId="0" hidden="1">0.0001</definedName>
    <definedName name="solver_drv" localSheetId="0" hidden="1">1</definedName>
    <definedName name="solver_eng" localSheetId="0" hidden="1">2</definedName>
    <definedName name="solver_est" localSheetId="0" hidden="1">1</definedName>
    <definedName name="solver_itr" localSheetId="0" hidden="1">2147483647</definedName>
    <definedName name="solver_lhs1" localSheetId="0" hidden="1">'Lost Baggage'!$U$20:$AH$20</definedName>
    <definedName name="solver_lhs10" localSheetId="0" hidden="1">'Lost Baggage'!$BE$6:$BE$19</definedName>
    <definedName name="solver_lhs11" localSheetId="0" hidden="1">'Lost Baggage'!$T$5:$AH$19</definedName>
    <definedName name="solver_lhs12" localSheetId="0" hidden="1">'Lost Baggage'!#REF!</definedName>
    <definedName name="solver_lhs13" localSheetId="0" hidden="1">'Lost Baggage'!$U$5:$AH$5</definedName>
    <definedName name="solver_lhs14" localSheetId="0" hidden="1">'Lost Baggage'!$V$6:$AH$6</definedName>
    <definedName name="solver_lhs15" localSheetId="0" hidden="1">'Lost Baggage'!$W$7:$AH$7</definedName>
    <definedName name="solver_lhs16" localSheetId="0" hidden="1">'Lost Baggage'!$X$8:$AH$8</definedName>
    <definedName name="solver_lhs17" localSheetId="0" hidden="1">'Lost Baggage'!$Y$9:$AH$9</definedName>
    <definedName name="solver_lhs18" localSheetId="0" hidden="1">'Lost Baggage'!$Z$10:$AH$10</definedName>
    <definedName name="solver_lhs19" localSheetId="0" hidden="1">'Lost Baggage'!$Y$9:$AH$9</definedName>
    <definedName name="solver_lhs2" localSheetId="0" hidden="1">'Lost Baggage'!$BJ$5</definedName>
    <definedName name="solver_lhs20" localSheetId="0" hidden="1">'Lost Baggage'!$AC$13:$AH$13</definedName>
    <definedName name="solver_lhs21" localSheetId="0" hidden="1">'Lost Baggage'!#REF!</definedName>
    <definedName name="solver_lhs3" localSheetId="0" hidden="1">'Lost Baggage'!$T$5:$AH$19</definedName>
    <definedName name="solver_lhs4" localSheetId="0" hidden="1">'Lost Baggage'!$AI$6:$AI$19</definedName>
    <definedName name="solver_lhs5" localSheetId="0" hidden="1">'Lost Baggage'!$AN$5:$BB$19</definedName>
    <definedName name="solver_lhs6" localSheetId="0" hidden="1">'Lost Baggage'!$AO$5:$BB$5</definedName>
    <definedName name="solver_lhs7" localSheetId="0" hidden="1">'Lost Baggage'!$BE$6:$BE$19</definedName>
    <definedName name="solver_lhs8" localSheetId="0" hidden="1">'Lost Baggage'!$T$5:$AH$19</definedName>
    <definedName name="solver_lhs9" localSheetId="0" hidden="1">'Lost Baggage'!$T$5:$AH$19</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7</definedName>
    <definedName name="solver_nwt" localSheetId="0" hidden="1">1</definedName>
    <definedName name="solver_opt" localSheetId="0" hidden="1">'Lost Baggage'!$BJ$8</definedName>
    <definedName name="solver_pre" localSheetId="0" hidden="1">0.000001</definedName>
    <definedName name="solver_rbv" localSheetId="0" hidden="1">1</definedName>
    <definedName name="solver_rel1" localSheetId="0" hidden="1">2</definedName>
    <definedName name="solver_rel10" localSheetId="0" hidden="1">2</definedName>
    <definedName name="solver_rel11" localSheetId="0" hidden="1">5</definedName>
    <definedName name="solver_rel12" localSheetId="0" hidden="1">1</definedName>
    <definedName name="solver_rel13" localSheetId="0" hidden="1">5</definedName>
    <definedName name="solver_rel14" localSheetId="0" hidden="1">5</definedName>
    <definedName name="solver_rel15" localSheetId="0" hidden="1">5</definedName>
    <definedName name="solver_rel16" localSheetId="0" hidden="1">5</definedName>
    <definedName name="solver_rel17" localSheetId="0" hidden="1">5</definedName>
    <definedName name="solver_rel18" localSheetId="0" hidden="1">5</definedName>
    <definedName name="solver_rel19" localSheetId="0" hidden="1">5</definedName>
    <definedName name="solver_rel2" localSheetId="0" hidden="1">1</definedName>
    <definedName name="solver_rel20" localSheetId="0" hidden="1">5</definedName>
    <definedName name="solver_rel21" localSheetId="0" hidden="1">1</definedName>
    <definedName name="solver_rel3" localSheetId="0" hidden="1">5</definedName>
    <definedName name="solver_rel4" localSheetId="0" hidden="1">2</definedName>
    <definedName name="solver_rel5" localSheetId="0" hidden="1">1</definedName>
    <definedName name="solver_rel6" localSheetId="0" hidden="1">1</definedName>
    <definedName name="solver_rel7" localSheetId="0" hidden="1">2</definedName>
    <definedName name="solver_rel8" localSheetId="0" hidden="1">5</definedName>
    <definedName name="solver_rel9" localSheetId="0" hidden="1">5</definedName>
    <definedName name="solver_rhs1" localSheetId="0" hidden="1">'Lost Baggage'!$U$22:$AH$22</definedName>
    <definedName name="solver_rhs10" localSheetId="0" hidden="1">'Lost Baggage'!$BG$6:$BG$19</definedName>
    <definedName name="solver_rhs11" localSheetId="0" hidden="1">"binary"</definedName>
    <definedName name="solver_rhs12" localSheetId="0" hidden="1">'Lost Baggage'!#REF!</definedName>
    <definedName name="solver_rhs13" localSheetId="0" hidden="1">"binary"</definedName>
    <definedName name="solver_rhs14" localSheetId="0" hidden="1">"binary"</definedName>
    <definedName name="solver_rhs15" localSheetId="0" hidden="1">"binary"</definedName>
    <definedName name="solver_rhs16" localSheetId="0" hidden="1">"binary"</definedName>
    <definedName name="solver_rhs17" localSheetId="0" hidden="1">"binary"</definedName>
    <definedName name="solver_rhs18" localSheetId="0" hidden="1">"binary"</definedName>
    <definedName name="solver_rhs19" localSheetId="0" hidden="1">"binary"</definedName>
    <definedName name="solver_rhs2" localSheetId="0" hidden="1">'Lost Baggage'!$BL$5</definedName>
    <definedName name="solver_rhs20" localSheetId="0" hidden="1">"binary"</definedName>
    <definedName name="solver_rhs21" localSheetId="0" hidden="1">'Lost Baggage'!#REF!</definedName>
    <definedName name="solver_rhs3" localSheetId="0" hidden="1">"binary"</definedName>
    <definedName name="solver_rhs4" localSheetId="0" hidden="1">'Lost Baggage'!$AK$6:$AK$19</definedName>
    <definedName name="solver_rhs5" localSheetId="0" hidden="1">'Lost Baggage'!$AN$25:$BB$39</definedName>
    <definedName name="solver_rhs6" localSheetId="0" hidden="1">'Lost Baggage'!$BJ$6</definedName>
    <definedName name="solver_rhs7" localSheetId="0" hidden="1">'Lost Baggage'!$BG$6:$BG$19</definedName>
    <definedName name="solver_rhs8" localSheetId="0" hidden="1">"binary"</definedName>
    <definedName name="solver_rhs9" localSheetId="0" hidden="1">"binary"</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definedName>
    <definedName name="solver_typ" localSheetId="0" hidden="1">2</definedName>
    <definedName name="solver_val" localSheetId="0" hidden="1">0</definedName>
    <definedName name="solver_ver" localSheetId="0" hidden="1">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6" i="22" l="1"/>
  <c r="BD6" i="22"/>
  <c r="AO20" i="22"/>
  <c r="BC6" i="22" s="1"/>
  <c r="AO25" i="22"/>
  <c r="AI5" i="22"/>
  <c r="BJ5" i="22" s="1"/>
  <c r="BJ8" i="22" s="1"/>
  <c r="BG19" i="22"/>
  <c r="BG18" i="22"/>
  <c r="BG17" i="22"/>
  <c r="BG16" i="22"/>
  <c r="BG15" i="22"/>
  <c r="BG14" i="22"/>
  <c r="BG13" i="22"/>
  <c r="BG12" i="22"/>
  <c r="BG11" i="22"/>
  <c r="BG10" i="22"/>
  <c r="BG9" i="22"/>
  <c r="BG8" i="22"/>
  <c r="BG7" i="22"/>
  <c r="AQ20" i="22"/>
  <c r="BC8" i="22" s="1"/>
  <c r="BD8" i="22"/>
  <c r="AP20" i="22"/>
  <c r="BC7" i="22" s="1"/>
  <c r="BD7" i="22"/>
  <c r="V28" i="22"/>
  <c r="W28" i="22" s="1"/>
  <c r="X28" i="22" s="1"/>
  <c r="Y28" i="22" s="1"/>
  <c r="Z28" i="22" s="1"/>
  <c r="AA28" i="22" s="1"/>
  <c r="AB28" i="22" s="1"/>
  <c r="AC28" i="22" s="1"/>
  <c r="AD28" i="22" s="1"/>
  <c r="AE28" i="22" s="1"/>
  <c r="AF28" i="22" s="1"/>
  <c r="AG28" i="22" s="1"/>
  <c r="AH28" i="22" s="1"/>
  <c r="V29" i="22"/>
  <c r="W29" i="22" s="1"/>
  <c r="X29" i="22" s="1"/>
  <c r="Y29" i="22" s="1"/>
  <c r="Z29" i="22" s="1"/>
  <c r="AA29" i="22" s="1"/>
  <c r="AB29" i="22" s="1"/>
  <c r="AC29" i="22" s="1"/>
  <c r="AD29" i="22" s="1"/>
  <c r="AE29" i="22" s="1"/>
  <c r="AF29" i="22" s="1"/>
  <c r="AG29" i="22" s="1"/>
  <c r="AH29" i="22" s="1"/>
  <c r="V30" i="22"/>
  <c r="W30" i="22" s="1"/>
  <c r="X30" i="22" s="1"/>
  <c r="Y30" i="22" s="1"/>
  <c r="Z30" i="22" s="1"/>
  <c r="AA30" i="22" s="1"/>
  <c r="AB30" i="22" s="1"/>
  <c r="AC30" i="22" s="1"/>
  <c r="AD30" i="22" s="1"/>
  <c r="AE30" i="22" s="1"/>
  <c r="AF30" i="22" s="1"/>
  <c r="AG30" i="22" s="1"/>
  <c r="AH30" i="22" s="1"/>
  <c r="V31" i="22"/>
  <c r="W31" i="22" s="1"/>
  <c r="X31" i="22" s="1"/>
  <c r="Y31" i="22" s="1"/>
  <c r="Z31" i="22" s="1"/>
  <c r="AA31" i="22" s="1"/>
  <c r="AB31" i="22" s="1"/>
  <c r="AC31" i="22" s="1"/>
  <c r="AD31" i="22" s="1"/>
  <c r="AE31" i="22" s="1"/>
  <c r="AF31" i="22" s="1"/>
  <c r="AG31" i="22" s="1"/>
  <c r="AH31" i="22" s="1"/>
  <c r="AN25" i="22"/>
  <c r="BB39" i="22"/>
  <c r="BA39" i="22"/>
  <c r="AZ39" i="22"/>
  <c r="AY39" i="22"/>
  <c r="AX39" i="22"/>
  <c r="AW39" i="22"/>
  <c r="AV39" i="22"/>
  <c r="AU39" i="22"/>
  <c r="AT39" i="22"/>
  <c r="AS39" i="22"/>
  <c r="AR39" i="22"/>
  <c r="AQ39" i="22"/>
  <c r="AP39" i="22"/>
  <c r="AO39" i="22"/>
  <c r="AN39" i="22"/>
  <c r="BB38" i="22"/>
  <c r="BA38" i="22"/>
  <c r="AZ38" i="22"/>
  <c r="AY38" i="22"/>
  <c r="AX38" i="22"/>
  <c r="AW38" i="22"/>
  <c r="AV38" i="22"/>
  <c r="AU38" i="22"/>
  <c r="AT38" i="22"/>
  <c r="AS38" i="22"/>
  <c r="AR38" i="22"/>
  <c r="AQ38" i="22"/>
  <c r="AP38" i="22"/>
  <c r="AO38" i="22"/>
  <c r="AN38" i="22"/>
  <c r="BB37" i="22"/>
  <c r="BA37" i="22"/>
  <c r="AZ37" i="22"/>
  <c r="AY37" i="22"/>
  <c r="AX37" i="22"/>
  <c r="AW37" i="22"/>
  <c r="AV37" i="22"/>
  <c r="AU37" i="22"/>
  <c r="AT37" i="22"/>
  <c r="AS37" i="22"/>
  <c r="AR37" i="22"/>
  <c r="AQ37" i="22"/>
  <c r="AP37" i="22"/>
  <c r="AO37" i="22"/>
  <c r="AN37" i="22"/>
  <c r="BB36" i="22"/>
  <c r="BA36" i="22"/>
  <c r="AZ36" i="22"/>
  <c r="AY36" i="22"/>
  <c r="AX36" i="22"/>
  <c r="AW36" i="22"/>
  <c r="AV36" i="22"/>
  <c r="AU36" i="22"/>
  <c r="AT36" i="22"/>
  <c r="AS36" i="22"/>
  <c r="AR36" i="22"/>
  <c r="AQ36" i="22"/>
  <c r="AP36" i="22"/>
  <c r="AO36" i="22"/>
  <c r="AN36" i="22"/>
  <c r="BB35" i="22"/>
  <c r="BA35" i="22"/>
  <c r="AZ35" i="22"/>
  <c r="AY35" i="22"/>
  <c r="AX35" i="22"/>
  <c r="AW35" i="22"/>
  <c r="AV35" i="22"/>
  <c r="AU35" i="22"/>
  <c r="AT35" i="22"/>
  <c r="AS35" i="22"/>
  <c r="AR35" i="22"/>
  <c r="AQ35" i="22"/>
  <c r="AP35" i="22"/>
  <c r="AO35" i="22"/>
  <c r="AN35" i="22"/>
  <c r="BB34" i="22"/>
  <c r="BA34" i="22"/>
  <c r="AZ34" i="22"/>
  <c r="AY34" i="22"/>
  <c r="AX34" i="22"/>
  <c r="AW34" i="22"/>
  <c r="AV34" i="22"/>
  <c r="AU34" i="22"/>
  <c r="AT34" i="22"/>
  <c r="AS34" i="22"/>
  <c r="AR34" i="22"/>
  <c r="AQ34" i="22"/>
  <c r="AP34" i="22"/>
  <c r="AO34" i="22"/>
  <c r="AN34" i="22"/>
  <c r="BB33" i="22"/>
  <c r="BA33" i="22"/>
  <c r="AZ33" i="22"/>
  <c r="AY33" i="22"/>
  <c r="AX33" i="22"/>
  <c r="AW33" i="22"/>
  <c r="AV33" i="22"/>
  <c r="AU33" i="22"/>
  <c r="AT33" i="22"/>
  <c r="AS33" i="22"/>
  <c r="AR33" i="22"/>
  <c r="AQ33" i="22"/>
  <c r="AP33" i="22"/>
  <c r="AO33" i="22"/>
  <c r="AN33" i="22"/>
  <c r="BB32" i="22"/>
  <c r="BA32" i="22"/>
  <c r="AZ32" i="22"/>
  <c r="AY32" i="22"/>
  <c r="AX32" i="22"/>
  <c r="AW32" i="22"/>
  <c r="AV32" i="22"/>
  <c r="AU32" i="22"/>
  <c r="AT32" i="22"/>
  <c r="AS32" i="22"/>
  <c r="AR32" i="22"/>
  <c r="AQ32" i="22"/>
  <c r="AP32" i="22"/>
  <c r="AO32" i="22"/>
  <c r="AN32" i="22"/>
  <c r="BB31" i="22"/>
  <c r="BA31" i="22"/>
  <c r="AZ31" i="22"/>
  <c r="AY31" i="22"/>
  <c r="AX31" i="22"/>
  <c r="AW31" i="22"/>
  <c r="AV31" i="22"/>
  <c r="AU31" i="22"/>
  <c r="AT31" i="22"/>
  <c r="AS31" i="22"/>
  <c r="AR31" i="22"/>
  <c r="AQ31" i="22"/>
  <c r="AP31" i="22"/>
  <c r="AO31" i="22"/>
  <c r="AN31" i="22"/>
  <c r="BB30" i="22"/>
  <c r="BA30" i="22"/>
  <c r="AZ30" i="22"/>
  <c r="AY30" i="22"/>
  <c r="AX30" i="22"/>
  <c r="AW30" i="22"/>
  <c r="AV30" i="22"/>
  <c r="AU30" i="22"/>
  <c r="AT30" i="22"/>
  <c r="AS30" i="22"/>
  <c r="AR30" i="22"/>
  <c r="AQ30" i="22"/>
  <c r="AP30" i="22"/>
  <c r="AO30" i="22"/>
  <c r="AN30" i="22"/>
  <c r="BB29" i="22"/>
  <c r="BA29" i="22"/>
  <c r="AZ29" i="22"/>
  <c r="AY29" i="22"/>
  <c r="AX29" i="22"/>
  <c r="AW29" i="22"/>
  <c r="AV29" i="22"/>
  <c r="AU29" i="22"/>
  <c r="AT29" i="22"/>
  <c r="AS29" i="22"/>
  <c r="AR29" i="22"/>
  <c r="AQ29" i="22"/>
  <c r="AP29" i="22"/>
  <c r="AO29" i="22"/>
  <c r="AN29" i="22"/>
  <c r="BB28" i="22"/>
  <c r="BA28" i="22"/>
  <c r="AZ28" i="22"/>
  <c r="AY28" i="22"/>
  <c r="AX28" i="22"/>
  <c r="AW28" i="22"/>
  <c r="AV28" i="22"/>
  <c r="AU28" i="22"/>
  <c r="AT28" i="22"/>
  <c r="AS28" i="22"/>
  <c r="AR28" i="22"/>
  <c r="AQ28" i="22"/>
  <c r="AP28" i="22"/>
  <c r="AO28" i="22"/>
  <c r="AN28" i="22"/>
  <c r="BB27" i="22"/>
  <c r="BA27" i="22"/>
  <c r="AZ27" i="22"/>
  <c r="AY27" i="22"/>
  <c r="AX27" i="22"/>
  <c r="AW27" i="22"/>
  <c r="AV27" i="22"/>
  <c r="AU27" i="22"/>
  <c r="AT27" i="22"/>
  <c r="AS27" i="22"/>
  <c r="AR27" i="22"/>
  <c r="AQ27" i="22"/>
  <c r="AP27" i="22"/>
  <c r="AO27" i="22"/>
  <c r="AN27" i="22"/>
  <c r="BB26" i="22"/>
  <c r="BA26" i="22"/>
  <c r="AZ26" i="22"/>
  <c r="AY26" i="22"/>
  <c r="AX26" i="22"/>
  <c r="AW26" i="22"/>
  <c r="AV26" i="22"/>
  <c r="AU26" i="22"/>
  <c r="AT26" i="22"/>
  <c r="AS26" i="22"/>
  <c r="AR26" i="22"/>
  <c r="AQ26" i="22"/>
  <c r="AP26" i="22"/>
  <c r="AO26" i="22"/>
  <c r="AN26" i="22"/>
  <c r="BB25" i="22"/>
  <c r="BA25" i="22"/>
  <c r="AZ25" i="22"/>
  <c r="AY25" i="22"/>
  <c r="AX25" i="22"/>
  <c r="AW25" i="22"/>
  <c r="AV25" i="22"/>
  <c r="AU25" i="22"/>
  <c r="AT25" i="22"/>
  <c r="AS25" i="22"/>
  <c r="AR25" i="22"/>
  <c r="AQ25" i="22"/>
  <c r="AP25" i="22"/>
  <c r="BB20" i="22"/>
  <c r="BC19" i="22" s="1"/>
  <c r="BA20" i="22"/>
  <c r="BC18" i="22" s="1"/>
  <c r="AZ20" i="22"/>
  <c r="BC17" i="22" s="1"/>
  <c r="AY20" i="22"/>
  <c r="BC16" i="22" s="1"/>
  <c r="AX20" i="22"/>
  <c r="BC15" i="22" s="1"/>
  <c r="AW20" i="22"/>
  <c r="BC14" i="22" s="1"/>
  <c r="AV20" i="22"/>
  <c r="BC13" i="22" s="1"/>
  <c r="AU20" i="22"/>
  <c r="BC12" i="22" s="1"/>
  <c r="AT20" i="22"/>
  <c r="BC11" i="22" s="1"/>
  <c r="AS20" i="22"/>
  <c r="BC10" i="22" s="1"/>
  <c r="AR20" i="22"/>
  <c r="BC9" i="22" s="1"/>
  <c r="AN20" i="22"/>
  <c r="BC5" i="22" s="1"/>
  <c r="BD19" i="22"/>
  <c r="BD18" i="22"/>
  <c r="BD17" i="22"/>
  <c r="BD16" i="22"/>
  <c r="BD15" i="22"/>
  <c r="BD14" i="22"/>
  <c r="BD13" i="22"/>
  <c r="BD12" i="22"/>
  <c r="BD11" i="22"/>
  <c r="BD10" i="22"/>
  <c r="BD9" i="22"/>
  <c r="BD5" i="22"/>
  <c r="AH20" i="22"/>
  <c r="AG20" i="22"/>
  <c r="AF20" i="22"/>
  <c r="AE20" i="22"/>
  <c r="AD20" i="22"/>
  <c r="AC20" i="22"/>
  <c r="AB20" i="22"/>
  <c r="AA20" i="22"/>
  <c r="Z20" i="22"/>
  <c r="Y20" i="22"/>
  <c r="X20" i="22"/>
  <c r="W20" i="22"/>
  <c r="V20" i="22"/>
  <c r="U20" i="22"/>
  <c r="T20" i="22"/>
  <c r="AI19" i="22"/>
  <c r="AI18" i="22"/>
  <c r="V27" i="22" s="1"/>
  <c r="AI17" i="22"/>
  <c r="AI16" i="22"/>
  <c r="AI15" i="22"/>
  <c r="AI14" i="22"/>
  <c r="AI13" i="22"/>
  <c r="AI12" i="22"/>
  <c r="AI11" i="22"/>
  <c r="AI10" i="22"/>
  <c r="AI9" i="22"/>
  <c r="AI8" i="22"/>
  <c r="AI7" i="22"/>
  <c r="AI6" i="22"/>
  <c r="V26" i="22" s="1"/>
  <c r="W27" i="22" l="1"/>
  <c r="X27" i="22" s="1"/>
  <c r="Y27" i="22" s="1"/>
  <c r="Z27" i="22" s="1"/>
  <c r="AA27" i="22" s="1"/>
  <c r="AB27" i="22" s="1"/>
  <c r="AC27" i="22" s="1"/>
  <c r="AD27" i="22" s="1"/>
  <c r="AE27" i="22" s="1"/>
  <c r="AF27" i="22" s="1"/>
  <c r="AG27" i="22" s="1"/>
  <c r="AH27" i="22" s="1"/>
  <c r="BE6" i="22"/>
  <c r="BE19" i="22"/>
  <c r="BE12" i="22"/>
  <c r="BE17" i="22"/>
  <c r="BE11" i="22"/>
  <c r="BE9" i="22"/>
  <c r="BE7" i="22"/>
  <c r="BE13" i="22"/>
  <c r="BE16" i="22"/>
  <c r="BE10" i="22"/>
  <c r="BE8" i="22"/>
  <c r="BE15" i="22"/>
  <c r="BE14" i="22"/>
  <c r="BE18" i="22"/>
  <c r="W26" i="22" l="1"/>
  <c r="X26" i="22" s="1"/>
  <c r="Y26" i="22" s="1"/>
  <c r="Z26" i="22" s="1"/>
  <c r="AA26" i="22" s="1"/>
  <c r="AB26" i="22" s="1"/>
  <c r="AC26" i="22" s="1"/>
  <c r="AD26" i="22" s="1"/>
  <c r="AE26" i="22" s="1"/>
  <c r="AF26" i="22" s="1"/>
  <c r="AG26" i="22" s="1"/>
  <c r="AH26"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Mibzar Terán</author>
  </authors>
  <commentList>
    <comment ref="M1" authorId="0" shapeId="0" xr:uid="{1EC78DB5-327C-48AD-8BC3-9112E051A914}">
      <text>
        <r>
          <rPr>
            <b/>
            <sz val="9"/>
            <color indexed="81"/>
            <rFont val="Tahoma"/>
            <family val="2"/>
          </rPr>
          <t>Mibzar Terán:</t>
        </r>
        <r>
          <rPr>
            <sz val="9"/>
            <color indexed="81"/>
            <rFont val="Tahoma"/>
            <family val="2"/>
          </rPr>
          <t xml:space="preserve">
Problem: A small company with six vans has a contract with a number of airlines to pick up lost or delayed baggage, belonging to customers in the London area, from Heathrow airport at 6 p.m. each evening. The contract stipulates that each customer must have their baggage delivered by 8 p.m. The company requires a model, which they can solve quickly each evening, to advise them what is the minimum number of vans they need to use and to which customers each van should deliver and in what order. There is no practical capacity limitation on each van. All baggage that needs to be delivered in a two-hour period can be accommodated in a van. Having ascertained the minimum number of vans needed, a solution is then sought, which minimises the maximum time taken by any van. On a particular evening, the places where deliveries need to be made and the times to travel between them (in minutes) are given in Table 12.24 [Destinations to Deliver with the Traveling Time (in minutes)]. No allowance is made for drop off times. For convenience, Heathrow will be regarded as the f irst location. Formulate optimisation models that will minimise the number of vans that need to be used, and within this minimum, minimise the time taken for the longest time delivery.</t>
        </r>
      </text>
    </comment>
    <comment ref="A2" authorId="0" shapeId="0" xr:uid="{AF08AEAD-1760-43F4-BD8D-53BA71965D17}">
      <text>
        <r>
          <rPr>
            <b/>
            <sz val="9"/>
            <color indexed="81"/>
            <rFont val="Tahoma"/>
            <family val="2"/>
          </rPr>
          <t>Author: Mibzar Terán.</t>
        </r>
        <r>
          <rPr>
            <sz val="9"/>
            <color indexed="81"/>
            <rFont val="Tahoma"/>
            <family val="2"/>
          </rPr>
          <t xml:space="preserve">
Final coursework for Linear and Discrete Optimization module.
</t>
        </r>
        <r>
          <rPr>
            <i/>
            <sz val="9"/>
            <color indexed="81"/>
            <rFont val="Tahoma"/>
            <family val="2"/>
          </rPr>
          <t>Because of the number of variables, Open Solver is needed to solve the LP model.</t>
        </r>
      </text>
    </comment>
    <comment ref="B4" authorId="0" shapeId="0" xr:uid="{0F58CA79-6FD3-44F3-8F94-136BC8CFF2D6}">
      <text>
        <r>
          <rPr>
            <b/>
            <sz val="9"/>
            <color indexed="81"/>
            <rFont val="Tahoma"/>
            <family val="2"/>
          </rPr>
          <t>Mibzar Terán:</t>
        </r>
        <r>
          <rPr>
            <sz val="9"/>
            <color indexed="81"/>
            <rFont val="Tahoma"/>
            <family val="2"/>
          </rPr>
          <t xml:space="preserve">
Note: the diagonal has a hidden big number (greater thatn the time constraint) to prevent any variable from taking it as part of a route.</t>
        </r>
      </text>
    </comment>
    <comment ref="AM4" authorId="0" shapeId="0" xr:uid="{88563705-BD28-4C7C-811B-7FD0DFAE1877}">
      <text>
        <r>
          <rPr>
            <b/>
            <sz val="9"/>
            <color indexed="81"/>
            <rFont val="Tahoma"/>
            <family val="2"/>
          </rPr>
          <t>Mibzar Terán:</t>
        </r>
        <r>
          <rPr>
            <sz val="9"/>
            <color indexed="81"/>
            <rFont val="Tahoma"/>
            <family val="2"/>
          </rPr>
          <t xml:space="preserve">
Note: this is a flow-based method to create networks based on the time left after creating an edge (the cost).</t>
        </r>
      </text>
    </comment>
    <comment ref="BJ6" authorId="0" shapeId="0" xr:uid="{3F97551F-E00D-49CF-A4F2-2DADB1026313}">
      <text>
        <r>
          <rPr>
            <b/>
            <sz val="9"/>
            <color indexed="81"/>
            <rFont val="Tahoma"/>
            <family val="2"/>
          </rPr>
          <t>Mibzar Terán:</t>
        </r>
        <r>
          <rPr>
            <sz val="9"/>
            <color indexed="81"/>
            <rFont val="Tahoma"/>
            <family val="2"/>
          </rPr>
          <t xml:space="preserve">
Note: since the total time expended per van is in the first row then it is just necessary to constraint that to less time allowed. Aditionally, it was not possible to change the constraint of 120 itself because it breakes linearity in the linking matrix.</t>
        </r>
      </text>
    </comment>
    <comment ref="BJ8" authorId="0" shapeId="0" xr:uid="{D13E9DCB-8CDF-422A-8767-9B7A53C6A2E4}">
      <text>
        <r>
          <rPr>
            <b/>
            <sz val="9"/>
            <color indexed="81"/>
            <rFont val="Tahoma"/>
            <family val="2"/>
          </rPr>
          <t>Mibzar Terán:</t>
        </r>
        <r>
          <rPr>
            <sz val="9"/>
            <color indexed="81"/>
            <rFont val="Tahoma"/>
            <family val="2"/>
          </rPr>
          <t xml:space="preserve">
Note: a penalization of M=100 was added to prioritize using less vans and then minimize the longest route.
Note: the Minmax problem is calculated by minimizing the constraint for the total time to visit all locations.</t>
        </r>
      </text>
    </comment>
    <comment ref="AM24" authorId="0" shapeId="0" xr:uid="{3AB619ED-18B9-49DC-B046-1BA61E5887B5}">
      <text>
        <r>
          <rPr>
            <b/>
            <sz val="9"/>
            <color indexed="81"/>
            <rFont val="Tahoma"/>
            <family val="2"/>
          </rPr>
          <t>Mibzar Terán:</t>
        </r>
        <r>
          <rPr>
            <sz val="9"/>
            <color indexed="81"/>
            <rFont val="Tahoma"/>
            <family val="2"/>
          </rPr>
          <t xml:space="preserve">
Note: this matrix assures that the time limit of 120 is not exeeded when creating the network for each van needed.</t>
        </r>
      </text>
    </comment>
    <comment ref="S25" authorId="0" shapeId="0" xr:uid="{BEA785C6-C218-4976-84AE-C774ACF279A8}">
      <text>
        <r>
          <rPr>
            <b/>
            <sz val="9"/>
            <color indexed="81"/>
            <rFont val="Tahoma"/>
            <family val="2"/>
          </rPr>
          <t>Mibzar Terán:</t>
        </r>
        <r>
          <rPr>
            <sz val="9"/>
            <color indexed="81"/>
            <rFont val="Tahoma"/>
            <family val="2"/>
          </rPr>
          <t xml:space="preserve">
Note: This should be consider additional material to automatically represent the route of each van. The used approach is to visually search for node connectivity within the </t>
        </r>
        <r>
          <rPr>
            <i/>
            <sz val="9"/>
            <color indexed="81"/>
            <rFont val="Tahoma"/>
            <family val="2"/>
          </rPr>
          <t xml:space="preserve">Decision Variables </t>
        </r>
        <r>
          <rPr>
            <sz val="9"/>
            <color indexed="81"/>
            <rFont val="Tahoma"/>
            <family val="2"/>
          </rPr>
          <t xml:space="preserve">matrix, but to automate it this table was constructed with the help of </t>
        </r>
        <r>
          <rPr>
            <i/>
            <sz val="9"/>
            <color indexed="81"/>
            <rFont val="Tahoma"/>
            <family val="2"/>
          </rPr>
          <t xml:space="preserve">Gemini AI </t>
        </r>
        <r>
          <rPr>
            <sz val="9"/>
            <color indexed="81"/>
            <rFont val="Tahoma"/>
            <family val="2"/>
          </rPr>
          <t>to further understand non-linear matching formulas of Excel</t>
        </r>
        <r>
          <rPr>
            <i/>
            <sz val="9"/>
            <color indexed="81"/>
            <rFont val="Tahoma"/>
            <family val="2"/>
          </rPr>
          <t>.</t>
        </r>
      </text>
    </comment>
    <comment ref="M47" authorId="0" shapeId="0" xr:uid="{9E1903A1-DE02-48E7-8C2F-E2E75D55E570}">
      <text>
        <r>
          <rPr>
            <b/>
            <sz val="9"/>
            <color indexed="81"/>
            <rFont val="Tahoma"/>
            <family val="2"/>
          </rPr>
          <t>Mibzar Terán:</t>
        </r>
        <r>
          <rPr>
            <sz val="9"/>
            <color indexed="81"/>
            <rFont val="Tahoma"/>
            <family val="2"/>
          </rPr>
          <t xml:space="preserve">
Note:  book solution to verify that it matches.</t>
        </r>
      </text>
    </comment>
  </commentList>
</comments>
</file>

<file path=xl/sharedStrings.xml><?xml version="1.0" encoding="utf-8"?>
<sst xmlns="http://schemas.openxmlformats.org/spreadsheetml/2006/main" count="88" uniqueCount="47">
  <si>
    <t>Heathrow</t>
  </si>
  <si>
    <t>Harrow</t>
  </si>
  <si>
    <t>Ealing</t>
  </si>
  <si>
    <t>Holborn</t>
  </si>
  <si>
    <t>Sutton</t>
  </si>
  <si>
    <t>Datford</t>
  </si>
  <si>
    <t>Bromley</t>
  </si>
  <si>
    <t>Barking</t>
  </si>
  <si>
    <t>Hammersmith</t>
  </si>
  <si>
    <t>Kingston</t>
  </si>
  <si>
    <t>Richmond</t>
  </si>
  <si>
    <t>Battersea</t>
  </si>
  <si>
    <t>Islington</t>
  </si>
  <si>
    <t>Woolwich</t>
  </si>
  <si>
    <t>Greenwich</t>
  </si>
  <si>
    <t>=</t>
  </si>
  <si>
    <t>&lt;=</t>
  </si>
  <si>
    <t>Bibliography:</t>
  </si>
  <si>
    <r>
      <t xml:space="preserve">Hiller, F.S., &amp; Liberman, G.J. (2024). </t>
    </r>
    <r>
      <rPr>
        <i/>
        <sz val="9"/>
        <color theme="1"/>
        <rFont val="Calibri"/>
        <family val="2"/>
        <scheme val="minor"/>
      </rPr>
      <t>Introduction to Operations Research (</t>
    </r>
    <r>
      <rPr>
        <sz val="9"/>
        <color theme="1"/>
        <rFont val="Calibri"/>
        <family val="2"/>
        <scheme val="minor"/>
      </rPr>
      <t>2024 Release). MCGraw Hill.</t>
    </r>
  </si>
  <si>
    <r>
      <t xml:space="preserve">Ragsdale, C.T. (2022). </t>
    </r>
    <r>
      <rPr>
        <i/>
        <sz val="9"/>
        <color theme="1"/>
        <rFont val="Calibri"/>
        <family val="2"/>
        <scheme val="minor"/>
      </rPr>
      <t xml:space="preserve">Spreadsheet Modeling and Decision Analysis: A Practical Introduction to Operations Research </t>
    </r>
    <r>
      <rPr>
        <sz val="9"/>
        <color theme="1"/>
        <rFont val="Calibri"/>
        <family val="2"/>
        <scheme val="minor"/>
      </rPr>
      <t>(2024 Release). McGraw Hill.</t>
    </r>
  </si>
  <si>
    <t>Subtour Elimination Constraints</t>
  </si>
  <si>
    <t>Decision Variables</t>
  </si>
  <si>
    <t>Van 1</t>
  </si>
  <si>
    <t>Van 2</t>
  </si>
  <si>
    <t>Inflow</t>
  </si>
  <si>
    <t>Outflow</t>
  </si>
  <si>
    <t>Balance</t>
  </si>
  <si>
    <t>Minimize vans needed and longest time to delivery</t>
  </si>
  <si>
    <t>LOST BAGGAGE DISTRIBUTION PROBLEM - MIP Optimization</t>
  </si>
  <si>
    <t>Total time</t>
  </si>
  <si>
    <t>---&gt;</t>
  </si>
  <si>
    <t>All locations must be visited once</t>
  </si>
  <si>
    <t>Longest delivery time</t>
  </si>
  <si>
    <t>Vans used</t>
  </si>
  <si>
    <t>Time constraint  per van</t>
  </si>
  <si>
    <t>Constraint of total vans aviable</t>
  </si>
  <si>
    <r>
      <t xml:space="preserve">Decision Making 101. (2020, April 6). </t>
    </r>
    <r>
      <rPr>
        <i/>
        <sz val="9"/>
        <color theme="1"/>
        <rFont val="Calibri"/>
        <family val="2"/>
        <scheme val="minor"/>
      </rPr>
      <t>Vehicle Routing Problem (VRP) - Example Hard Mixed-Integer Linear Programming MILP Problem</t>
    </r>
    <r>
      <rPr>
        <sz val="9"/>
        <color theme="1"/>
        <rFont val="Calibri"/>
        <family val="2"/>
        <scheme val="minor"/>
      </rPr>
      <t xml:space="preserve"> [Video]. YouTube. https://www.youtube.com/watch?v=-DjyO0DK9Ys</t>
    </r>
  </si>
  <si>
    <t>Linking &amp; Time Constraint</t>
  </si>
  <si>
    <t>Start</t>
  </si>
  <si>
    <t xml:space="preserve">Destinations to Deliver with the Traveling Time (in minutes) </t>
  </si>
  <si>
    <t>Delivering Order</t>
  </si>
  <si>
    <r>
      <t xml:space="preserve">Williams, H. P. (2013). </t>
    </r>
    <r>
      <rPr>
        <i/>
        <sz val="9"/>
        <color theme="1"/>
        <rFont val="Calibri"/>
        <family val="2"/>
        <scheme val="minor"/>
      </rPr>
      <t>Model building in mathematical programming</t>
    </r>
    <r>
      <rPr>
        <sz val="9"/>
        <color theme="1"/>
        <rFont val="Calibri"/>
        <family val="2"/>
        <scheme val="minor"/>
      </rPr>
      <t>. Retrieved from http://ebookcentral.proquest.com</t>
    </r>
  </si>
  <si>
    <t>Van 3</t>
  </si>
  <si>
    <t>Van 4</t>
  </si>
  <si>
    <t>Van 5</t>
  </si>
  <si>
    <t>Van 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</si>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</sst>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i/>
      <sz val="9"/>
      <color theme="1"/>
      <name val="Calibri"/>
      <family val="2"/>
      <scheme val="minor"/>
    </font>
    <font>
      <sz val="9"/>
      <color theme="1"/>
      <name val="Calibri"/>
      <family val="2"/>
      <scheme val="minor"/>
    </font>
    <font>
      <sz val="11"/>
      <name val="Calibri"/>
      <family val="2"/>
      <scheme val="minor"/>
    </font>
    <font>
      <sz val="8"/>
      <name val="Calibri"/>
      <family val="2"/>
      <scheme val="minor"/>
    </font>
    <font>
      <b/>
      <sz val="11"/>
      <color theme="0"/>
      <name val="Calibri"/>
      <family val="2"/>
      <scheme val="minor"/>
    </font>
    <font>
      <b/>
      <sz val="11"/>
      <name val="Calibri"/>
      <family val="2"/>
      <scheme val="minor"/>
    </font>
    <font>
      <sz val="9"/>
      <color indexed="81"/>
      <name val="Tahoma"/>
      <family val="2"/>
    </font>
    <font>
      <b/>
      <sz val="9"/>
      <color indexed="81"/>
      <name val="Tahoma"/>
      <family val="2"/>
    </font>
    <font>
      <i/>
      <sz val="9"/>
      <color indexed="81"/>
      <name val="Tahoma"/>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D28FFF"/>
        <bgColor indexed="64"/>
      </patternFill>
    </fill>
    <fill>
      <patternFill patternType="solid">
        <fgColor theme="5" tint="0.59999389629810485"/>
        <bgColor indexed="64"/>
      </patternFill>
    </fill>
  </fills>
  <borders count="2">
    <border>
      <left/>
      <right/>
      <top/>
      <bottom/>
      <diagonal/>
    </border>
    <border>
      <left/>
      <right/>
      <top/>
      <bottom style="double">
        <color indexed="64"/>
      </bottom>
      <diagonal/>
    </border>
  </borders>
  <cellStyleXfs count="1">
    <xf numFmtId="0" fontId="0" fillId="0" borderId="0"/>
  </cellStyleXfs>
  <cellXfs count="41">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quotePrefix="1" applyAlignment="1">
      <alignment horizontal="center" vertical="center"/>
    </xf>
    <xf numFmtId="0" fontId="0" fillId="0" borderId="0" xfId="0" applyAlignment="1">
      <alignment horizontal="left" vertical="center"/>
    </xf>
    <xf numFmtId="0" fontId="0" fillId="2" borderId="0" xfId="0" applyFill="1" applyAlignment="1">
      <alignment horizontal="center" vertical="center"/>
    </xf>
    <xf numFmtId="0" fontId="0" fillId="0" borderId="0" xfId="0" quotePrefix="1" applyAlignment="1">
      <alignment horizontal="center"/>
    </xf>
    <xf numFmtId="0" fontId="0" fillId="0" borderId="0" xfId="0" applyAlignment="1">
      <alignment horizontal="center"/>
    </xf>
    <xf numFmtId="0" fontId="0" fillId="0" borderId="0" xfId="0" applyAlignment="1">
      <alignment horizontal="left"/>
    </xf>
    <xf numFmtId="0" fontId="0" fillId="2" borderId="0" xfId="0" applyFill="1" applyAlignment="1">
      <alignment horizontal="center"/>
    </xf>
    <xf numFmtId="0" fontId="1" fillId="4" borderId="0" xfId="0" applyFont="1" applyFill="1" applyAlignment="1">
      <alignment horizontal="center"/>
    </xf>
    <xf numFmtId="0" fontId="1" fillId="0" borderId="0" xfId="0" applyFont="1" applyAlignment="1">
      <alignment horizontal="left" vertical="center"/>
    </xf>
    <xf numFmtId="0" fontId="0" fillId="3" borderId="0" xfId="0" applyFill="1"/>
    <xf numFmtId="0" fontId="2" fillId="0" borderId="0" xfId="0" applyFont="1" applyAlignment="1">
      <alignment horizontal="center" vertical="center"/>
    </xf>
    <xf numFmtId="0" fontId="3" fillId="0" borderId="0" xfId="0" applyFont="1"/>
    <xf numFmtId="0" fontId="4" fillId="0" borderId="0" xfId="0" applyFont="1"/>
    <xf numFmtId="0" fontId="5" fillId="0" borderId="0" xfId="0" applyFont="1"/>
    <xf numFmtId="0" fontId="1" fillId="0" borderId="0" xfId="0" applyFont="1" applyAlignment="1">
      <alignment horizontal="right"/>
    </xf>
    <xf numFmtId="0" fontId="1" fillId="0" borderId="0" xfId="0" applyFont="1" applyAlignment="1">
      <alignment horizontal="left"/>
    </xf>
    <xf numFmtId="0" fontId="1" fillId="0" borderId="0" xfId="0" applyFont="1" applyAlignment="1">
      <alignment horizontal="right" vertical="center"/>
    </xf>
    <xf numFmtId="0" fontId="0" fillId="0" borderId="0" xfId="0" applyAlignment="1">
      <alignment vertical="center" wrapText="1"/>
    </xf>
    <xf numFmtId="0" fontId="0" fillId="0" borderId="0" xfId="0" quotePrefix="1" applyAlignment="1">
      <alignment horizontal="left"/>
    </xf>
    <xf numFmtId="0" fontId="0" fillId="3" borderId="0" xfId="0" applyFill="1" applyAlignment="1">
      <alignment horizontal="center"/>
    </xf>
    <xf numFmtId="0" fontId="0" fillId="0" borderId="0" xfId="0" applyAlignment="1">
      <alignment horizontal="right"/>
    </xf>
    <xf numFmtId="0" fontId="0" fillId="3" borderId="0" xfId="0" applyFill="1" applyAlignment="1">
      <alignment horizontal="right"/>
    </xf>
    <xf numFmtId="0" fontId="0" fillId="0" borderId="0" xfId="0" applyAlignment="1">
      <alignment horizontal="left" vertical="center" wrapText="1"/>
    </xf>
    <xf numFmtId="0" fontId="6" fillId="3" borderId="0" xfId="0" applyFont="1" applyFill="1" applyAlignment="1">
      <alignment horizontal="center" vertical="center"/>
    </xf>
    <xf numFmtId="0" fontId="8" fillId="0" borderId="0" xfId="0" applyFont="1" applyAlignment="1">
      <alignment horizontal="center" vertical="center"/>
    </xf>
    <xf numFmtId="0" fontId="2" fillId="0" borderId="0" xfId="0" applyFont="1" applyAlignment="1">
      <alignment horizontal="center"/>
    </xf>
    <xf numFmtId="0" fontId="9" fillId="0" borderId="0" xfId="0" applyFont="1" applyAlignment="1">
      <alignment vertical="center"/>
    </xf>
    <xf numFmtId="0" fontId="1" fillId="0" borderId="0" xfId="0" applyFont="1"/>
    <xf numFmtId="0" fontId="0" fillId="5" borderId="0" xfId="0" applyFill="1" applyAlignment="1">
      <alignment horizontal="center"/>
    </xf>
    <xf numFmtId="0" fontId="1" fillId="5" borderId="0" xfId="0" applyFont="1" applyFill="1" applyAlignment="1">
      <alignment horizontal="center"/>
    </xf>
    <xf numFmtId="0" fontId="1" fillId="0" borderId="0" xfId="0" quotePrefix="1" applyFont="1" applyAlignment="1">
      <alignment horizontal="center"/>
    </xf>
    <xf numFmtId="0" fontId="9" fillId="3" borderId="0" xfId="0" applyFont="1" applyFill="1"/>
    <xf numFmtId="0" fontId="1" fillId="2" borderId="0" xfId="0" applyFont="1" applyFill="1" applyAlignment="1">
      <alignment horizontal="right"/>
    </xf>
    <xf numFmtId="0" fontId="4" fillId="0" borderId="0" xfId="0" applyFont="1" applyAlignment="1">
      <alignment horizontal="left"/>
    </xf>
    <xf numFmtId="0" fontId="0" fillId="0" borderId="0" xfId="0" applyAlignment="1">
      <alignment horizontal="left"/>
    </xf>
    <xf numFmtId="0" fontId="1" fillId="0" borderId="1" xfId="0" applyFont="1"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D28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2822</xdr:colOff>
      <xdr:row>19</xdr:row>
      <xdr:rowOff>177800</xdr:rowOff>
    </xdr:from>
    <xdr:to>
      <xdr:col>15</xdr:col>
      <xdr:colOff>19050</xdr:colOff>
      <xdr:row>39</xdr:row>
      <xdr:rowOff>158751</xdr:rowOff>
    </xdr:to>
    <mc:AlternateContent xmlns:mc="http://schemas.openxmlformats.org/markup-compatibility/2006" xmlns:a14="http://schemas.microsoft.com/office/drawing/2010/main">
      <mc:Choice Requires="a14">
        <xdr:sp macro="" textlink="">
          <xdr:nvSpPr>
            <xdr:cNvPr id="22" name="TextBox 1">
              <a:extLst>
                <a:ext uri="{FF2B5EF4-FFF2-40B4-BE49-F238E27FC236}">
                  <a16:creationId xmlns:a16="http://schemas.microsoft.com/office/drawing/2014/main" id="{F53F6AD9-C031-97FF-7163-BF2749215F98}"/>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𝑀𝑖𝑛𝑖𝑚𝑖𝑧𝑒</m:t>
                    </m:r>
                    <m:r>
                      <a:rPr lang="en-US" sz="1100" b="0" i="1">
                        <a:latin typeface="Cambria Math" panose="02040503050406030204" pitchFamily="18" charset="0"/>
                      </a:rPr>
                      <m:t>:</m:t>
                    </m:r>
                    <m:r>
                      <a:rPr lang="en-US" sz="1100" b="0" i="1">
                        <a:latin typeface="Cambria Math" panose="02040503050406030204" pitchFamily="18" charset="0"/>
                      </a:rPr>
                      <m:t>𝑀</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𝑗</m:t>
                        </m:r>
                        <m:r>
                          <a:rPr lang="en-US" sz="1100" b="0" i="1">
                            <a:latin typeface="Cambria Math" panose="02040503050406030204" pitchFamily="18" charset="0"/>
                          </a:rPr>
                          <m:t>=1</m:t>
                        </m:r>
                      </m:sub>
                      <m:sup>
                        <m:r>
                          <a:rPr lang="en-US" sz="1100" b="0" i="1">
                            <a:latin typeface="Cambria Math" panose="02040503050406030204" pitchFamily="18" charset="0"/>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n-US" sz="1100" b="0" i="1">
                        <a:latin typeface="Cambria Math" panose="02040503050406030204" pitchFamily="18" charset="0"/>
                      </a:rPr>
                      <m:t>+</m:t>
                    </m:r>
                    <m:r>
                      <a:rPr lang="en-US" sz="1100" b="0" i="1">
                        <a:latin typeface="Cambria Math" panose="02040503050406030204" pitchFamily="18" charset="0"/>
                      </a:rPr>
                      <m:t>𝑇</m:t>
                    </m:r>
                  </m:oMath>
                </m:oMathPara>
              </a14:m>
              <a:endParaRPr lang="es-ES" sz="1100"/>
            </a:p>
            <a:p>
              <a:pPr algn="l"/>
              <a:endParaRPr lang="es-ES" sz="1100"/>
            </a:p>
            <a:p>
              <a:pPr algn="l"/>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𝑆𝑢𝑏𝑗𝑒𝑡𝑐</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m:t>
                    </m:r>
                  </m:oMath>
                </m:oMathPara>
              </a14:m>
              <a:endParaRPr lang="es-ES" sz="1100"/>
            </a:p>
            <a:p>
              <a:pPr algn="l"/>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m:rPr>
                          <m:brk m:alnAt="23"/>
                        </m:rP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s-EC"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=1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=2, …, 15 </m:t>
                  </m:r>
                  <m:r>
                    <a:rPr lang="en-US" sz="1100" b="0" i="1">
                      <a:solidFill>
                        <a:schemeClr val="dk1"/>
                      </a:solidFill>
                      <a:effectLst/>
                      <a:latin typeface="Cambria Math" panose="02040503050406030204" pitchFamily="18" charset="0"/>
                      <a:ea typeface="+mn-ea"/>
                      <a:cs typeface="+mn-cs"/>
                    </a:rPr>
                    <m:t>𝑎𝑛𝑑</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m:t>
                  </m:r>
                  <m:r>
                    <a:rPr lang="en-US" sz="1100" b="0" i="1">
                      <a:solidFill>
                        <a:schemeClr val="dk1"/>
                      </a:solidFill>
                      <a:effectLst/>
                      <a:latin typeface="Cambria Math" panose="02040503050406030204" pitchFamily="18" charset="0"/>
                      <a:ea typeface="+mn-ea"/>
                      <a:cs typeface="+mn-cs"/>
                    </a:rPr>
                    <m:t>𝑗</m:t>
                  </m:r>
                </m:oMath>
              </a14:m>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14:m>
                <m:oMath xmlns:m="http://schemas.openxmlformats.org/officeDocument/2006/math">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s-EC"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𝑓</m:t>
                          </m:r>
                        </m:e>
                        <m:sub>
                          <m:r>
                            <a:rPr lang="en-US" sz="1100" b="0" i="1">
                              <a:solidFill>
                                <a:schemeClr val="dk1"/>
                              </a:solidFill>
                              <a:effectLst/>
                              <a:latin typeface="Cambria Math" panose="02040503050406030204" pitchFamily="18" charset="0"/>
                              <a:ea typeface="+mn-ea"/>
                              <a:cs typeface="+mn-cs"/>
                            </a:rPr>
                            <m:t>𝑗𝑖</m:t>
                          </m:r>
                        </m:sub>
                      </m:sSub>
                    </m:e>
                  </m:nary>
                  <m:r>
                    <a:rPr lang="en-US" sz="1100" b="0" i="1">
                      <a:solidFill>
                        <a:schemeClr val="dk1"/>
                      </a:solidFill>
                      <a:effectLst/>
                      <a:latin typeface="Cambria Math" panose="02040503050406030204" pitchFamily="18" charset="0"/>
                      <a:ea typeface="+mn-ea"/>
                      <a:cs typeface="+mn-cs"/>
                    </a:rPr>
                    <m:t>=</m:t>
                  </m:r>
                  <m:nary>
                    <m:naryPr>
                      <m:chr m:val="∑"/>
                      <m:ctrlPr>
                        <a:rPr lang="en-US" sz="1100" b="0" i="1">
                          <a:solidFill>
                            <a:schemeClr val="dk1"/>
                          </a:solidFill>
                          <a:effectLst/>
                          <a:latin typeface="Cambria Math" panose="02040503050406030204" pitchFamily="18" charset="0"/>
                          <a:ea typeface="+mn-ea"/>
                          <a:cs typeface="+mn-cs"/>
                        </a:rPr>
                      </m:ctrlPr>
                    </m:naryPr>
                    <m:sub>
                      <m:r>
                        <a:rPr lang="en-US" sz="1100" b="0" i="1">
                          <a:solidFill>
                            <a:schemeClr val="dk1"/>
                          </a:solidFill>
                          <a:effectLst/>
                          <a:latin typeface="Cambria Math" panose="02040503050406030204" pitchFamily="18" charset="0"/>
                          <a:ea typeface="+mn-ea"/>
                          <a:cs typeface="+mn-cs"/>
                        </a:rPr>
                        <m:t>𝑖</m:t>
                      </m:r>
                      <m:r>
                        <a:rPr lang="en-US" sz="1100" b="0" i="1">
                          <a:solidFill>
                            <a:schemeClr val="dk1"/>
                          </a:solidFill>
                          <a:effectLst/>
                          <a:latin typeface="Cambria Math" panose="02040503050406030204" pitchFamily="18" charset="0"/>
                          <a:ea typeface="+mn-ea"/>
                          <a:cs typeface="+mn-cs"/>
                        </a:rPr>
                        <m:t>=1</m:t>
                      </m:r>
                    </m:sub>
                    <m:sup>
                      <m:r>
                        <a:rPr lang="en-US" sz="1100" b="0" i="1">
                          <a:solidFill>
                            <a:schemeClr val="dk1"/>
                          </a:solidFill>
                          <a:effectLst/>
                          <a:latin typeface="Cambria Math" panose="02040503050406030204" pitchFamily="18" charset="0"/>
                          <a:ea typeface="+mn-ea"/>
                          <a:cs typeface="+mn-cs"/>
                        </a:rPr>
                        <m:t>15</m:t>
                      </m:r>
                    </m:sup>
                    <m:e>
                      <m:sSub>
                        <m:sSubPr>
                          <m:ctrlPr>
                            <a:rPr lang="en-US"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𝑐</m:t>
                          </m:r>
                        </m:e>
                        <m:sub>
                          <m:r>
                            <a:rPr lang="es-EC" sz="1100" b="0" i="1">
                              <a:solidFill>
                                <a:schemeClr val="dk1"/>
                              </a:solidFill>
                              <a:effectLst/>
                              <a:latin typeface="Cambria Math" panose="02040503050406030204" pitchFamily="18" charset="0"/>
                              <a:ea typeface="+mn-ea"/>
                              <a:cs typeface="+mn-cs"/>
                            </a:rPr>
                            <m:t>𝑖𝑗</m:t>
                          </m:r>
                        </m:sub>
                      </m:sSub>
                      <m:sSub>
                        <m:sSubPr>
                          <m:ctrlPr>
                            <a:rPr lang="es-EC" sz="1100" b="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n-US" sz="1100" b="0" i="1">
                              <a:solidFill>
                                <a:schemeClr val="dk1"/>
                              </a:solidFill>
                              <a:effectLst/>
                              <a:latin typeface="Cambria Math" panose="02040503050406030204" pitchFamily="18" charset="0"/>
                              <a:ea typeface="+mn-ea"/>
                              <a:cs typeface="+mn-cs"/>
                            </a:rPr>
                            <m:t>𝑖𝑗</m:t>
                          </m:r>
                        </m:sub>
                      </m:sSub>
                    </m:e>
                  </m:nary>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𝑓𝑜𝑟</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𝑗</m:t>
                  </m:r>
                  <m:r>
                    <a:rPr lang="en-US" sz="1100" b="0" i="1">
                      <a:solidFill>
                        <a:schemeClr val="dk1"/>
                      </a:solidFill>
                      <a:effectLst/>
                      <a:latin typeface="Cambria Math" panose="02040503050406030204" pitchFamily="18" charset="0"/>
                      <a:ea typeface="+mn-ea"/>
                      <a:cs typeface="+mn-cs"/>
                    </a:rPr>
                    <m:t>=2, …, 15 </m:t>
                  </m:r>
                </m:oMath>
              </a14:m>
              <a:r>
                <a:rPr lang="es-ES">
                  <a:effectLst/>
                </a:rPr>
                <a:t>		(2)</a:t>
              </a:r>
            </a:p>
            <a:p>
              <a:endParaRPr lang="es-ES">
                <a:effectLst/>
              </a:endParaRPr>
            </a:p>
            <a:p>
              <a14:m>
                <m:oMath xmlns:m="http://schemas.openxmlformats.org/officeDocument/2006/math">
                  <m:sSub>
                    <m:sSubPr>
                      <m:ctrlPr>
                        <a:rPr lang="es-ES" i="1">
                          <a:effectLst/>
                          <a:latin typeface="Cambria Math" panose="02040503050406030204" pitchFamily="18" charset="0"/>
                        </a:rPr>
                      </m:ctrlPr>
                    </m:sSubPr>
                    <m:e>
                      <m:r>
                        <a:rPr lang="en-US" b="0" i="1">
                          <a:effectLst/>
                          <a:latin typeface="Cambria Math" panose="02040503050406030204" pitchFamily="18" charset="0"/>
                        </a:rPr>
                        <m:t>𝑓</m:t>
                      </m:r>
                    </m:e>
                    <m:sub>
                      <m:r>
                        <a:rPr lang="en-US" b="0" i="1">
                          <a:effectLst/>
                          <a:latin typeface="Cambria Math" panose="02040503050406030204" pitchFamily="18" charset="0"/>
                        </a:rPr>
                        <m:t>𝑖𝑗</m:t>
                      </m:r>
                    </m:sub>
                  </m:sSub>
                  <m:r>
                    <a:rPr lang="es-ES" i="1">
                      <a:effectLst/>
                      <a:latin typeface="Cambria Math" panose="02040503050406030204" pitchFamily="18" charset="0"/>
                      <a:ea typeface="Cambria Math" panose="02040503050406030204" pitchFamily="18" charset="0"/>
                    </a:rPr>
                    <m:t>≤</m:t>
                  </m:r>
                  <m:r>
                    <a:rPr lang="en-US" b="0" i="1">
                      <a:effectLst/>
                      <a:latin typeface="Cambria Math" panose="02040503050406030204" pitchFamily="18" charset="0"/>
                      <a:ea typeface="Cambria Math" panose="02040503050406030204" pitchFamily="18" charset="0"/>
                    </a:rPr>
                    <m:t>120</m:t>
                  </m:r>
                  <m:sSub>
                    <m:sSubPr>
                      <m:ctrlPr>
                        <a:rPr lang="en-US" b="0" i="1">
                          <a:effectLst/>
                          <a:latin typeface="Cambria Math" panose="02040503050406030204" pitchFamily="18" charset="0"/>
                          <a:ea typeface="Cambria Math" panose="02040503050406030204" pitchFamily="18" charset="0"/>
                        </a:rPr>
                      </m:ctrlPr>
                    </m:sSubPr>
                    <m:e>
                      <m:r>
                        <a:rPr lang="en-US" b="0" i="1">
                          <a:effectLst/>
                          <a:latin typeface="Cambria Math" panose="02040503050406030204" pitchFamily="18" charset="0"/>
                          <a:ea typeface="Cambria Math" panose="02040503050406030204" pitchFamily="18" charset="0"/>
                        </a:rPr>
                        <m:t>𝑥</m:t>
                      </m:r>
                    </m:e>
                    <m:sub>
                      <m:r>
                        <a:rPr lang="en-US" b="0" i="1">
                          <a:effectLst/>
                          <a:latin typeface="Cambria Math" panose="02040503050406030204" pitchFamily="18" charset="0"/>
                          <a:ea typeface="Cambria Math" panose="02040503050406030204" pitchFamily="18" charset="0"/>
                        </a:rPr>
                        <m:t>𝑖𝑗</m:t>
                      </m:r>
                    </m:sub>
                  </m:sSub>
                </m:oMath>
              </a14:m>
              <a:r>
                <a:rPr lang="es-ES">
                  <a:effectLst/>
                </a:rPr>
                <a:t>					(3)</a:t>
              </a:r>
            </a:p>
            <a:p>
              <a:endParaRPr lang="es-ES">
                <a:effectLst/>
              </a:endParaRPr>
            </a:p>
            <a:p>
              <a14:m>
                <m:oMath xmlns:m="http://schemas.openxmlformats.org/officeDocument/2006/math">
                  <m:nary>
                    <m:naryPr>
                      <m:chr m:val="∑"/>
                      <m:ctrlPr>
                        <a:rPr lang="es-ES" i="1">
                          <a:effectLst/>
                          <a:latin typeface="Cambria Math" panose="02040503050406030204" pitchFamily="18" charset="0"/>
                        </a:rPr>
                      </m:ctrlPr>
                    </m:naryPr>
                    <m:sub>
                      <m:r>
                        <m:rPr>
                          <m:brk m:alnAt="23"/>
                        </m:rPr>
                        <a:rPr lang="es-EC" b="0" i="1">
                          <a:effectLst/>
                          <a:latin typeface="Cambria Math" panose="02040503050406030204" pitchFamily="18" charset="0"/>
                        </a:rPr>
                        <m:t>𝑗</m:t>
                      </m:r>
                      <m:r>
                        <a:rPr lang="en-US" b="0" i="1">
                          <a:effectLst/>
                          <a:latin typeface="Cambria Math" panose="02040503050406030204" pitchFamily="18" charset="0"/>
                        </a:rPr>
                        <m:t>=</m:t>
                      </m:r>
                      <m:r>
                        <a:rPr lang="es-EC" b="0" i="1">
                          <a:effectLst/>
                          <a:latin typeface="Cambria Math" panose="02040503050406030204" pitchFamily="18" charset="0"/>
                        </a:rPr>
                        <m:t>1</m:t>
                      </m:r>
                    </m:sub>
                    <m:sup>
                      <m:r>
                        <a:rPr lang="en-US" b="0" i="1">
                          <a:effectLst/>
                          <a:latin typeface="Cambria Math" panose="02040503050406030204" pitchFamily="18" charset="0"/>
                        </a:rPr>
                        <m:t>15</m:t>
                      </m:r>
                    </m:sup>
                    <m:e>
                      <m:sSub>
                        <m:sSubPr>
                          <m:ctrlPr>
                            <a:rPr lang="es-ES" sz="1100" i="1">
                              <a:solidFill>
                                <a:schemeClr val="dk1"/>
                              </a:solidFill>
                              <a:effectLst/>
                              <a:latin typeface="Cambria Math" panose="02040503050406030204" pitchFamily="18" charset="0"/>
                              <a:ea typeface="+mn-ea"/>
                              <a:cs typeface="+mn-cs"/>
                            </a:rPr>
                          </m:ctrlPr>
                        </m:sSubPr>
                        <m:e>
                          <m:r>
                            <a:rPr lang="en-US" sz="1100" b="0" i="1">
                              <a:solidFill>
                                <a:schemeClr val="dk1"/>
                              </a:solidFill>
                              <a:effectLst/>
                              <a:latin typeface="Cambria Math" panose="02040503050406030204" pitchFamily="18" charset="0"/>
                              <a:ea typeface="+mn-ea"/>
                              <a:cs typeface="+mn-cs"/>
                            </a:rPr>
                            <m:t>𝑥</m:t>
                          </m:r>
                        </m:e>
                        <m:sub>
                          <m:r>
                            <a:rPr lang="es-EC" sz="1100" b="0" i="1">
                              <a:solidFill>
                                <a:schemeClr val="dk1"/>
                              </a:solidFill>
                              <a:effectLst/>
                              <a:latin typeface="Cambria Math" panose="02040503050406030204" pitchFamily="18" charset="0"/>
                              <a:ea typeface="+mn-ea"/>
                              <a:cs typeface="+mn-cs"/>
                            </a:rPr>
                            <m:t>1</m:t>
                          </m:r>
                          <m:r>
                            <a:rPr lang="en-US" sz="1100" b="0" i="1">
                              <a:solidFill>
                                <a:schemeClr val="dk1"/>
                              </a:solidFill>
                              <a:effectLst/>
                              <a:latin typeface="Cambria Math" panose="02040503050406030204" pitchFamily="18" charset="0"/>
                              <a:ea typeface="+mn-ea"/>
                              <a:cs typeface="+mn-cs"/>
                            </a:rPr>
                            <m:t>𝑗</m:t>
                          </m:r>
                        </m:sub>
                      </m:sSub>
                    </m:e>
                  </m:nary>
                  <m:r>
                    <a:rPr lang="es-ES" i="1">
                      <a:effectLst/>
                      <a:latin typeface="Cambria Math" panose="02040503050406030204" pitchFamily="18" charset="0"/>
                      <a:ea typeface="Cambria Math" panose="02040503050406030204" pitchFamily="18" charset="0"/>
                    </a:rPr>
                    <m:t>≤</m:t>
                  </m:r>
                  <m:r>
                    <a:rPr lang="es-EC" b="0" i="1">
                      <a:effectLst/>
                      <a:latin typeface="Cambria Math" panose="02040503050406030204" pitchFamily="18" charset="0"/>
                      <a:ea typeface="Cambria Math" panose="02040503050406030204" pitchFamily="18" charset="0"/>
                    </a:rPr>
                    <m:t>6</m:t>
                  </m:r>
                </m:oMath>
              </a14:m>
              <a:r>
                <a:rPr lang="es-ES">
                  <a:effectLst/>
                </a:rPr>
                <a:t>					(4)</a:t>
              </a:r>
            </a:p>
            <a:p>
              <a:endParaRPr lang="es-ES">
                <a:effectLst/>
              </a:endParaRPr>
            </a:p>
            <a:p>
              <a14:m>
                <m:oMath xmlns:m="http://schemas.openxmlformats.org/officeDocument/2006/math">
                  <m:sSub>
                    <m:sSubPr>
                      <m:ctrlPr>
                        <a:rPr lang="es-ES" sz="1100" i="1">
                          <a:solidFill>
                            <a:schemeClr val="dk1"/>
                          </a:solidFill>
                          <a:effectLst/>
                          <a:latin typeface="Cambria Math" panose="02040503050406030204" pitchFamily="18" charset="0"/>
                          <a:ea typeface="Cambria Math" panose="02040503050406030204" pitchFamily="18" charset="0"/>
                          <a:cs typeface="+mn-cs"/>
                        </a:rPr>
                      </m:ctrlPr>
                    </m:sSubPr>
                    <m:e>
                      <m:r>
                        <a:rPr lang="es-EC" sz="1100" b="0" i="1">
                          <a:solidFill>
                            <a:schemeClr val="dk1"/>
                          </a:solidFill>
                          <a:effectLst/>
                          <a:latin typeface="Cambria Math" panose="02040503050406030204" pitchFamily="18" charset="0"/>
                          <a:ea typeface="Cambria Math" panose="02040503050406030204" pitchFamily="18" charset="0"/>
                          <a:cs typeface="+mn-cs"/>
                        </a:rPr>
                        <m:t>𝑓</m:t>
                      </m:r>
                    </m:e>
                    <m:sub>
                      <m:r>
                        <a:rPr lang="es-EC" sz="1100" b="0" i="1">
                          <a:solidFill>
                            <a:schemeClr val="dk1"/>
                          </a:solidFill>
                          <a:effectLst/>
                          <a:latin typeface="Cambria Math" panose="02040503050406030204" pitchFamily="18" charset="0"/>
                          <a:ea typeface="Cambria Math" panose="02040503050406030204" pitchFamily="18" charset="0"/>
                          <a:cs typeface="+mn-cs"/>
                        </a:rPr>
                        <m:t>1</m:t>
                      </m:r>
                      <m:r>
                        <a:rPr lang="es-EC" sz="1100" b="0" i="1">
                          <a:solidFill>
                            <a:schemeClr val="dk1"/>
                          </a:solidFill>
                          <a:effectLst/>
                          <a:latin typeface="Cambria Math" panose="02040503050406030204" pitchFamily="18" charset="0"/>
                          <a:ea typeface="Cambria Math" panose="02040503050406030204" pitchFamily="18" charset="0"/>
                          <a:cs typeface="+mn-cs"/>
                        </a:rPr>
                        <m:t>𝑗</m:t>
                      </m:r>
                    </m:sub>
                  </m:sSub>
                  <m:r>
                    <a:rPr lang="es-ES" sz="1100" i="1">
                      <a:solidFill>
                        <a:schemeClr val="dk1"/>
                      </a:solidFill>
                      <a:effectLst/>
                      <a:latin typeface="Cambria Math" panose="02040503050406030204" pitchFamily="18" charset="0"/>
                      <a:ea typeface="Cambria Math" panose="02040503050406030204" pitchFamily="18" charset="0"/>
                      <a:cs typeface="+mn-cs"/>
                    </a:rPr>
                    <m:t>≤</m:t>
                  </m:r>
                  <m:r>
                    <a:rPr lang="es-EC" sz="1100" b="0" i="1">
                      <a:solidFill>
                        <a:schemeClr val="dk1"/>
                      </a:solidFill>
                      <a:effectLst/>
                      <a:latin typeface="Cambria Math" panose="02040503050406030204" pitchFamily="18" charset="0"/>
                      <a:ea typeface="Cambria Math" panose="02040503050406030204" pitchFamily="18" charset="0"/>
                      <a:cs typeface="+mn-cs"/>
                    </a:rPr>
                    <m:t>𝑇</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=2, …, 15</m:t>
                  </m:r>
                </m:oMath>
              </a14:m>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14:m>
                <m:oMath xmlns:m="http://schemas.openxmlformats.org/officeDocument/2006/math">
                  <m:sSub>
                    <m:sSubPr>
                      <m:ctrlPr>
                        <a:rPr lang="en-US" sz="1100" b="0" i="1">
                          <a:solidFill>
                            <a:schemeClr val="dk1"/>
                          </a:solidFill>
                          <a:effectLst/>
                          <a:latin typeface="Cambria Math" panose="02040503050406030204" pitchFamily="18" charset="0"/>
                          <a:ea typeface="Cambria Math" panose="02040503050406030204" pitchFamily="18" charset="0"/>
                          <a:cs typeface="+mn-cs"/>
                        </a:rPr>
                      </m:ctrlPr>
                    </m:sSubPr>
                    <m:e>
                      <m:r>
                        <a:rPr lang="en-US" sz="1100" b="0" i="1">
                          <a:solidFill>
                            <a:schemeClr val="dk1"/>
                          </a:solidFill>
                          <a:effectLst/>
                          <a:latin typeface="Cambria Math" panose="02040503050406030204" pitchFamily="18" charset="0"/>
                          <a:ea typeface="Cambria Math" panose="02040503050406030204" pitchFamily="18" charset="0"/>
                          <a:cs typeface="+mn-cs"/>
                        </a:rPr>
                        <m:t>𝑥</m:t>
                      </m:r>
                    </m:e>
                    <m:sub>
                      <m:r>
                        <a:rPr lang="en-US" sz="1100" b="0" i="1">
                          <a:solidFill>
                            <a:schemeClr val="dk1"/>
                          </a:solidFill>
                          <a:effectLst/>
                          <a:latin typeface="Cambria Math" panose="02040503050406030204" pitchFamily="18" charset="0"/>
                          <a:ea typeface="Cambria Math" panose="02040503050406030204" pitchFamily="18" charset="0"/>
                          <a:cs typeface="+mn-cs"/>
                        </a:rPr>
                        <m:t>𝑖𝑗</m:t>
                      </m:r>
                    </m:sub>
                  </m:sSub>
                  <m:r>
                    <a:rPr lang="en-US" sz="1100" b="0" i="1">
                      <a:solidFill>
                        <a:schemeClr val="dk1"/>
                      </a:solidFill>
                      <a:effectLst/>
                      <a:latin typeface="Cambria Math" panose="02040503050406030204" pitchFamily="18" charset="0"/>
                      <a:ea typeface="Cambria Math" panose="02040503050406030204" pitchFamily="18" charset="0"/>
                      <a:cs typeface="+mn-cs"/>
                    </a:rPr>
                    <m:t>∈</m:t>
                  </m:r>
                  <m:d>
                    <m:dPr>
                      <m:begChr m:val="{"/>
                      <m:endChr m:val="}"/>
                      <m:ctrlPr>
                        <a:rPr lang="en-US" sz="1100" b="0" i="1">
                          <a:solidFill>
                            <a:schemeClr val="dk1"/>
                          </a:solidFill>
                          <a:effectLst/>
                          <a:latin typeface="Cambria Math" panose="02040503050406030204" pitchFamily="18" charset="0"/>
                          <a:ea typeface="Cambria Math" panose="02040503050406030204" pitchFamily="18" charset="0"/>
                          <a:cs typeface="+mn-cs"/>
                        </a:rPr>
                      </m:ctrlPr>
                    </m:dPr>
                    <m:e>
                      <m:r>
                        <a:rPr lang="en-US" sz="1100" b="0" i="1">
                          <a:solidFill>
                            <a:schemeClr val="dk1"/>
                          </a:solidFill>
                          <a:effectLst/>
                          <a:latin typeface="Cambria Math" panose="02040503050406030204" pitchFamily="18" charset="0"/>
                          <a:ea typeface="Cambria Math" panose="02040503050406030204" pitchFamily="18" charset="0"/>
                          <a:cs typeface="+mn-cs"/>
                        </a:rPr>
                        <m:t>0,1</m:t>
                      </m:r>
                    </m:e>
                  </m:d>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𝑓𝑜𝑟</m:t>
                  </m:r>
                  <m:r>
                    <a:rPr lang="en-US" sz="1100" b="0" i="1">
                      <a:solidFill>
                        <a:schemeClr val="dk1"/>
                      </a:solidFill>
                      <a:effectLst/>
                      <a:latin typeface="Cambria Math" panose="02040503050406030204" pitchFamily="18" charset="0"/>
                      <a:ea typeface="Cambria Math" panose="02040503050406030204" pitchFamily="18" charset="0"/>
                      <a:cs typeface="+mn-cs"/>
                    </a:rPr>
                    <m:t> </m:t>
                  </m:r>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=1, …, 15, </m:t>
                  </m:r>
                  <m:r>
                    <a:rPr lang="en-US" sz="1100" b="0" i="1">
                      <a:solidFill>
                        <a:schemeClr val="dk1"/>
                      </a:solidFill>
                      <a:effectLst/>
                      <a:latin typeface="Cambria Math" panose="02040503050406030204" pitchFamily="18" charset="0"/>
                      <a:ea typeface="Cambria Math" panose="02040503050406030204" pitchFamily="18" charset="0"/>
                      <a:cs typeface="+mn-cs"/>
                    </a:rPr>
                    <m:t>𝑗</m:t>
                  </m:r>
                  <m:r>
                    <a:rPr lang="en-US" sz="1100" b="0" i="1">
                      <a:solidFill>
                        <a:schemeClr val="dk1"/>
                      </a:solidFill>
                      <a:effectLst/>
                      <a:latin typeface="Cambria Math" panose="02040503050406030204" pitchFamily="18" charset="0"/>
                      <a:ea typeface="Cambria Math" panose="02040503050406030204" pitchFamily="18" charset="0"/>
                      <a:cs typeface="+mn-cs"/>
                    </a:rPr>
                    <m:t>=1, …, 15 </m:t>
                  </m:r>
                </m:oMath>
              </a14:m>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14:m>
                <m:oMath xmlns:m="http://schemas.openxmlformats.org/officeDocument/2006/math">
                  <m:r>
                    <a:rPr lang="en-US" sz="1100" b="0" i="1">
                      <a:solidFill>
                        <a:schemeClr val="dk1"/>
                      </a:solidFill>
                      <a:effectLst/>
                      <a:latin typeface="Cambria Math" panose="02040503050406030204" pitchFamily="18" charset="0"/>
                      <a:ea typeface="Cambria Math" panose="02040503050406030204" pitchFamily="18" charset="0"/>
                      <a:cs typeface="+mn-cs"/>
                    </a:rPr>
                    <m:t>𝑖</m:t>
                  </m:r>
                  <m:r>
                    <a:rPr lang="en-US" sz="1100" b="0" i="1">
                      <a:solidFill>
                        <a:schemeClr val="dk1"/>
                      </a:solidFill>
                      <a:effectLst/>
                      <a:latin typeface="Cambria Math" panose="02040503050406030204" pitchFamily="18" charset="0"/>
                      <a:ea typeface="Cambria Math" panose="02040503050406030204" pitchFamily="18" charset="0"/>
                      <a:cs typeface="+mn-cs"/>
                    </a:rPr>
                    <m:t>≠</m:t>
                  </m:r>
                  <m:r>
                    <a:rPr lang="en-US" sz="1100" b="0" i="1">
                      <a:solidFill>
                        <a:schemeClr val="dk1"/>
                      </a:solidFill>
                      <a:effectLst/>
                      <a:latin typeface="Cambria Math" panose="02040503050406030204" pitchFamily="18" charset="0"/>
                      <a:ea typeface="Cambria Math" panose="02040503050406030204" pitchFamily="18" charset="0"/>
                      <a:cs typeface="+mn-cs"/>
                    </a:rPr>
                    <m:t>𝑗</m:t>
                  </m:r>
                </m:oMath>
              </a14:m>
              <a:r>
                <a:rPr lang="en-US" sz="1100" b="0">
                  <a:solidFill>
                    <a:schemeClr val="dk1"/>
                  </a:solidFill>
                  <a:effectLst/>
                  <a:ea typeface="Cambria Math" panose="02040503050406030204" pitchFamily="18" charset="0"/>
                  <a:cs typeface="+mn-cs"/>
                </a:rPr>
                <a:t>					(7)</a:t>
              </a:r>
            </a:p>
            <a:p>
              <a:pPr algn="l"/>
              <a:endParaRPr lang="es-ES" sz="1100"/>
            </a:p>
          </xdr:txBody>
        </xdr:sp>
      </mc:Choice>
      <mc:Fallback xmlns="">
        <xdr:sp macro="" textlink="">
          <xdr:nvSpPr>
            <xdr:cNvPr id="22" name="TextBox 1">
              <a:extLst>
                <a:ext uri="{FF2B5EF4-FFF2-40B4-BE49-F238E27FC236}">
                  <a16:creationId xmlns:a16="http://schemas.microsoft.com/office/drawing/2014/main" id="{F53F6AD9-C031-97FF-7163-BF2749215F98}"/>
                </a:ext>
              </a:extLst>
            </xdr:cNvPr>
            <xdr:cNvSpPr txBox="1"/>
          </xdr:nvSpPr>
          <xdr:spPr>
            <a:xfrm>
              <a:off x="942622" y="3771900"/>
              <a:ext cx="5528028" cy="3689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a:latin typeface="Cambria Math" panose="02040503050406030204" pitchFamily="18" charset="0"/>
                </a:rPr>
                <a:t>𝑀𝑖𝑛𝑖𝑚𝑖𝑧𝑒:𝑀∑_(𝑗=1)^15</a:t>
              </a:r>
              <a:r>
                <a:rPr lang="en-US" sz="1100" b="0" i="0">
                  <a:solidFill>
                    <a:schemeClr val="dk1"/>
                  </a:solidFill>
                  <a:effectLst/>
                  <a:latin typeface="Cambria Math" panose="02040503050406030204" pitchFamily="18" charset="0"/>
                  <a:ea typeface="+mn-ea"/>
                  <a:cs typeface="+mn-cs"/>
                </a:rPr>
                <a:t>▒𝑥_1𝑗 </a:t>
              </a:r>
              <a:r>
                <a:rPr lang="en-US" sz="1100" b="0" i="0">
                  <a:latin typeface="Cambria Math" panose="02040503050406030204" pitchFamily="18" charset="0"/>
                </a:rPr>
                <a:t>+𝑇</a:t>
              </a:r>
              <a:endParaRPr lang="es-ES" sz="1100"/>
            </a:p>
            <a:p>
              <a:pPr algn="l"/>
              <a:endParaRPr lang="es-ES" sz="1100"/>
            </a:p>
            <a:p>
              <a:pPr algn="l"/>
              <a:r>
                <a:rPr lang="en-US" sz="1100" b="0" i="0">
                  <a:latin typeface="Cambria Math" panose="02040503050406030204" pitchFamily="18" charset="0"/>
                </a:rPr>
                <a:t>𝑆𝑢𝑏𝑗𝑒𝑡𝑐 𝑡𝑜:</a:t>
              </a:r>
              <a:endParaRPr lang="es-ES" sz="1100"/>
            </a:p>
            <a:p>
              <a:pPr algn="l"/>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𝑗=2, …, 15 𝑎𝑛𝑑 𝑖</a:t>
              </a:r>
              <a:r>
                <a:rPr lang="en-US" sz="1100" b="0" i="0">
                  <a:solidFill>
                    <a:schemeClr val="dk1"/>
                  </a:solidFill>
                  <a:effectLst/>
                  <a:latin typeface="Cambria Math" panose="02040503050406030204" pitchFamily="18" charset="0"/>
                  <a:ea typeface="Cambria Math" panose="02040503050406030204" pitchFamily="18" charset="0"/>
                  <a:cs typeface="+mn-cs"/>
                </a:rPr>
                <a:t>≠𝑗</a:t>
              </a:r>
              <a:r>
                <a:rPr lang="en-US" sz="1100" b="0">
                  <a:solidFill>
                    <a:schemeClr val="dk1"/>
                  </a:solidFill>
                  <a:effectLst/>
                  <a:ea typeface="Cambria Math" panose="02040503050406030204" pitchFamily="18" charset="0"/>
                  <a:cs typeface="+mn-cs"/>
                </a:rPr>
                <a:t>              			(1.1)</a:t>
              </a:r>
            </a:p>
            <a:p>
              <a:pPr algn="l"/>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mn-ea"/>
                  <a:cs typeface="+mn-cs"/>
                </a:rPr>
                <a:t>∑_(𝑗=1)^15</a:t>
              </a:r>
              <a:r>
                <a:rPr lang="es-EC" sz="1100" b="0" i="0">
                  <a:solidFill>
                    <a:schemeClr val="dk1"/>
                  </a:solidFill>
                  <a:effectLst/>
                  <a:latin typeface="Cambria Math" panose="02040503050406030204" pitchFamily="18" charset="0"/>
                  <a:ea typeface="+mn-ea"/>
                  <a:cs typeface="+mn-cs"/>
                </a:rPr>
                <a:t>▒𝑥</a:t>
              </a:r>
              <a:r>
                <a:rPr lang="en-U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=1 𝑓𝑜𝑟 𝑖=2, …, 15 𝑎𝑛𝑑 𝑖≠𝑗</a:t>
              </a:r>
              <a:r>
                <a:rPr lang="es-ES">
                  <a:effectLst/>
                </a:rPr>
                <a:t>			</a:t>
              </a:r>
              <a:r>
                <a:rPr lang="en-US" sz="1100" b="0">
                  <a:solidFill>
                    <a:schemeClr val="dk1"/>
                  </a:solidFill>
                  <a:effectLst/>
                  <a:latin typeface="+mn-lt"/>
                  <a:ea typeface="+mn-ea"/>
                  <a:cs typeface="+mn-cs"/>
                </a:rPr>
                <a:t>(1.2)</a:t>
              </a:r>
              <a:endParaRPr lang="es-ES">
                <a:effectLst/>
              </a:endParaRPr>
            </a:p>
            <a:p>
              <a:endParaRPr lang="es-ES">
                <a:effectLst/>
              </a:endParaRPr>
            </a:p>
            <a:p>
              <a:r>
                <a:rPr lang="en-US" sz="1100" b="0" i="0">
                  <a:solidFill>
                    <a:schemeClr val="dk1"/>
                  </a:solidFill>
                  <a:effectLst/>
                  <a:latin typeface="Cambria Math" panose="02040503050406030204" pitchFamily="18" charset="0"/>
                  <a:ea typeface="+mn-ea"/>
                  <a:cs typeface="+mn-cs"/>
                </a:rPr>
                <a:t>∑_(𝑖=1)^15</a:t>
              </a:r>
              <a:r>
                <a:rPr lang="es-EC" sz="1100" b="0" i="0">
                  <a:solidFill>
                    <a:schemeClr val="dk1"/>
                  </a:solidFill>
                  <a:effectLst/>
                  <a:latin typeface="Cambria Math" panose="02040503050406030204" pitchFamily="18" charset="0"/>
                  <a:ea typeface="+mn-ea"/>
                  <a:cs typeface="+mn-cs"/>
                </a:rPr>
                <a:t>▒</a:t>
              </a:r>
              <a:r>
                <a:rPr lang="en-US" sz="1100" b="0" i="0">
                  <a:solidFill>
                    <a:schemeClr val="dk1"/>
                  </a:solidFill>
                  <a:effectLst/>
                  <a:latin typeface="Cambria Math" panose="02040503050406030204" pitchFamily="18" charset="0"/>
                  <a:ea typeface="+mn-ea"/>
                  <a:cs typeface="+mn-cs"/>
                </a:rPr>
                <a:t>𝑓_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−∑_(𝑖=1)^15▒𝑓_𝑗𝑖 =∑_(𝑖=1)^15▒〖𝑐_</a:t>
              </a:r>
              <a:r>
                <a:rPr lang="es-EC" sz="1100" b="0" i="0">
                  <a:solidFill>
                    <a:schemeClr val="dk1"/>
                  </a:solidFill>
                  <a:effectLst/>
                  <a:latin typeface="Cambria Math" panose="02040503050406030204" pitchFamily="18" charset="0"/>
                  <a:ea typeface="+mn-ea"/>
                  <a:cs typeface="+mn-cs"/>
                </a:rPr>
                <a:t>𝑖𝑗 </a:t>
              </a:r>
              <a:r>
                <a:rPr lang="en-US" sz="1100" b="0" i="0">
                  <a:solidFill>
                    <a:schemeClr val="dk1"/>
                  </a:solidFill>
                  <a:effectLst/>
                  <a:latin typeface="Cambria Math" panose="02040503050406030204" pitchFamily="18" charset="0"/>
                  <a:ea typeface="+mn-ea"/>
                  <a:cs typeface="+mn-cs"/>
                </a:rPr>
                <a:t>𝑥</a:t>
              </a:r>
              <a:r>
                <a:rPr lang="es-EC" sz="1100" b="0" i="0">
                  <a:solidFill>
                    <a:schemeClr val="dk1"/>
                  </a:solidFill>
                  <a:effectLst/>
                  <a:latin typeface="Cambria Math" panose="02040503050406030204" pitchFamily="18" charset="0"/>
                  <a:ea typeface="+mn-ea"/>
                  <a:cs typeface="+mn-cs"/>
                </a:rPr>
                <a:t>_</a:t>
              </a:r>
              <a:r>
                <a:rPr lang="en-US" sz="1100" b="0" i="0">
                  <a:solidFill>
                    <a:schemeClr val="dk1"/>
                  </a:solidFill>
                  <a:effectLst/>
                  <a:latin typeface="Cambria Math" panose="02040503050406030204" pitchFamily="18" charset="0"/>
                  <a:ea typeface="+mn-ea"/>
                  <a:cs typeface="+mn-cs"/>
                </a:rPr>
                <a:t>𝑖𝑗 〗  𝑓𝑜𝑟 𝑗=2, …, 15 </a:t>
              </a:r>
              <a:r>
                <a:rPr lang="es-ES">
                  <a:effectLst/>
                </a:rPr>
                <a:t>		(2)</a:t>
              </a:r>
            </a:p>
            <a:p>
              <a:endParaRPr lang="es-ES">
                <a:effectLst/>
              </a:endParaRPr>
            </a:p>
            <a:p>
              <a:r>
                <a:rPr lang="en-US" b="0" i="0">
                  <a:effectLst/>
                  <a:latin typeface="Cambria Math" panose="02040503050406030204" pitchFamily="18" charset="0"/>
                </a:rPr>
                <a:t>𝑓</a:t>
              </a:r>
              <a:r>
                <a:rPr lang="es-ES" b="0" i="0">
                  <a:effectLst/>
                  <a:latin typeface="Cambria Math" panose="02040503050406030204" pitchFamily="18" charset="0"/>
                </a:rPr>
                <a:t>_</a:t>
              </a:r>
              <a:r>
                <a:rPr lang="en-US" b="0" i="0">
                  <a:effectLst/>
                  <a:latin typeface="Cambria Math" panose="02040503050406030204" pitchFamily="18" charset="0"/>
                </a:rPr>
                <a:t>𝑖𝑗</a:t>
              </a:r>
              <a:r>
                <a:rPr lang="es-ES" i="0">
                  <a:effectLst/>
                  <a:latin typeface="Cambria Math" panose="02040503050406030204" pitchFamily="18" charset="0"/>
                  <a:ea typeface="Cambria Math" panose="02040503050406030204" pitchFamily="18" charset="0"/>
                </a:rPr>
                <a:t>≤</a:t>
              </a:r>
              <a:r>
                <a:rPr lang="en-US" b="0" i="0">
                  <a:effectLst/>
                  <a:latin typeface="Cambria Math" panose="02040503050406030204" pitchFamily="18" charset="0"/>
                  <a:ea typeface="Cambria Math" panose="02040503050406030204" pitchFamily="18" charset="0"/>
                </a:rPr>
                <a:t>120𝑥_𝑖𝑗</a:t>
              </a:r>
              <a:r>
                <a:rPr lang="es-ES">
                  <a:effectLst/>
                </a:rPr>
                <a:t>					(3)</a:t>
              </a:r>
            </a:p>
            <a:p>
              <a:endParaRPr lang="es-ES">
                <a:effectLst/>
              </a:endParaRPr>
            </a:p>
            <a:p>
              <a:r>
                <a:rPr lang="es-ES" i="0">
                  <a:effectLst/>
                  <a:latin typeface="Cambria Math" panose="02040503050406030204" pitchFamily="18" charset="0"/>
                </a:rPr>
                <a:t>∑</a:t>
              </a:r>
              <a:r>
                <a:rPr lang="es-EC" b="0" i="0">
                  <a:effectLst/>
                  <a:latin typeface="Cambria Math" panose="02040503050406030204" pitchFamily="18" charset="0"/>
                </a:rPr>
                <a:t>_</a:t>
              </a:r>
              <a:r>
                <a:rPr lang="es-ES" b="0" i="0">
                  <a:effectLst/>
                  <a:latin typeface="Cambria Math" panose="02040503050406030204" pitchFamily="18" charset="0"/>
                </a:rPr>
                <a:t>(</a:t>
              </a:r>
              <a:r>
                <a:rPr lang="es-EC" b="0" i="0">
                  <a:effectLst/>
                  <a:latin typeface="Cambria Math" panose="02040503050406030204" pitchFamily="18" charset="0"/>
                </a:rPr>
                <a:t>𝑗</a:t>
              </a:r>
              <a:r>
                <a:rPr lang="en-US" b="0" i="0">
                  <a:effectLst/>
                  <a:latin typeface="Cambria Math" panose="02040503050406030204" pitchFamily="18" charset="0"/>
                </a:rPr>
                <a:t>=</a:t>
              </a:r>
              <a:r>
                <a:rPr lang="es-EC" b="0" i="0">
                  <a:effectLst/>
                  <a:latin typeface="Cambria Math" panose="02040503050406030204" pitchFamily="18" charset="0"/>
                </a:rPr>
                <a:t>1</a:t>
              </a:r>
              <a:r>
                <a:rPr lang="es-ES" b="0" i="0">
                  <a:effectLst/>
                  <a:latin typeface="Cambria Math" panose="02040503050406030204" pitchFamily="18" charset="0"/>
                </a:rPr>
                <a:t>)</a:t>
              </a:r>
              <a:r>
                <a:rPr lang="en-US" b="0" i="0">
                  <a:effectLst/>
                  <a:latin typeface="Cambria Math" panose="02040503050406030204" pitchFamily="18" charset="0"/>
                </a:rPr>
                <a:t>^15</a:t>
              </a:r>
              <a:r>
                <a:rPr lang="en-US" sz="1100" b="0" i="0">
                  <a:solidFill>
                    <a:schemeClr val="dk1"/>
                  </a:solidFill>
                  <a:effectLst/>
                  <a:latin typeface="Cambria Math" panose="02040503050406030204" pitchFamily="18" charset="0"/>
                  <a:ea typeface="+mn-ea"/>
                  <a:cs typeface="+mn-cs"/>
                </a:rPr>
                <a:t>▒𝑥</a:t>
              </a:r>
              <a:r>
                <a:rPr lang="es-ES" sz="1100" b="0" i="0">
                  <a:solidFill>
                    <a:schemeClr val="dk1"/>
                  </a:solidFill>
                  <a:effectLst/>
                  <a:latin typeface="Cambria Math" panose="02040503050406030204" pitchFamily="18" charset="0"/>
                  <a:ea typeface="+mn-ea"/>
                  <a:cs typeface="+mn-cs"/>
                </a:rPr>
                <a:t>_</a:t>
              </a:r>
              <a:r>
                <a:rPr lang="es-EC" sz="1100" b="0" i="0">
                  <a:solidFill>
                    <a:schemeClr val="dk1"/>
                  </a:solidFill>
                  <a:effectLst/>
                  <a:latin typeface="Cambria Math" panose="02040503050406030204" pitchFamily="18" charset="0"/>
                  <a:ea typeface="+mn-ea"/>
                  <a:cs typeface="+mn-cs"/>
                </a:rPr>
                <a:t>1</a:t>
              </a:r>
              <a:r>
                <a:rPr lang="en-US" sz="1100" b="0" i="0">
                  <a:solidFill>
                    <a:schemeClr val="dk1"/>
                  </a:solidFill>
                  <a:effectLst/>
                  <a:latin typeface="Cambria Math" panose="02040503050406030204" pitchFamily="18" charset="0"/>
                  <a:ea typeface="+mn-ea"/>
                  <a:cs typeface="+mn-cs"/>
                </a:rPr>
                <a:t>𝑗 </a:t>
              </a:r>
              <a:r>
                <a:rPr lang="es-ES" i="0">
                  <a:effectLst/>
                  <a:latin typeface="Cambria Math" panose="02040503050406030204" pitchFamily="18" charset="0"/>
                  <a:ea typeface="Cambria Math" panose="02040503050406030204" pitchFamily="18" charset="0"/>
                </a:rPr>
                <a:t>≤</a:t>
              </a:r>
              <a:r>
                <a:rPr lang="es-EC" b="0" i="0">
                  <a:effectLst/>
                  <a:latin typeface="Cambria Math" panose="02040503050406030204" pitchFamily="18" charset="0"/>
                  <a:ea typeface="Cambria Math" panose="02040503050406030204" pitchFamily="18" charset="0"/>
                </a:rPr>
                <a:t>6</a:t>
              </a:r>
              <a:r>
                <a:rPr lang="es-ES">
                  <a:effectLst/>
                </a:rPr>
                <a:t>					(4)</a:t>
              </a:r>
            </a:p>
            <a:p>
              <a:endParaRPr lang="es-ES">
                <a:effectLst/>
              </a:endParaRPr>
            </a:p>
            <a:p>
              <a:r>
                <a:rPr lang="es-EC" sz="1100" b="0" i="0">
                  <a:solidFill>
                    <a:schemeClr val="dk1"/>
                  </a:solidFill>
                  <a:effectLst/>
                  <a:latin typeface="Cambria Math" panose="02040503050406030204" pitchFamily="18" charset="0"/>
                  <a:ea typeface="Cambria Math" panose="02040503050406030204" pitchFamily="18" charset="0"/>
                  <a:cs typeface="+mn-cs"/>
                </a:rPr>
                <a:t>𝑓</a:t>
              </a:r>
              <a:r>
                <a:rPr lang="es-ES" sz="1100" b="0" i="0">
                  <a:solidFill>
                    <a:schemeClr val="dk1"/>
                  </a:solidFill>
                  <a:effectLst/>
                  <a:latin typeface="Cambria Math" panose="02040503050406030204" pitchFamily="18" charset="0"/>
                  <a:ea typeface="Cambria Math" panose="02040503050406030204" pitchFamily="18" charset="0"/>
                  <a:cs typeface="+mn-cs"/>
                </a:rPr>
                <a:t>_</a:t>
              </a:r>
              <a:r>
                <a:rPr lang="es-EC" sz="1100" b="0" i="0">
                  <a:solidFill>
                    <a:schemeClr val="dk1"/>
                  </a:solidFill>
                  <a:effectLst/>
                  <a:latin typeface="Cambria Math" panose="02040503050406030204" pitchFamily="18" charset="0"/>
                  <a:ea typeface="Cambria Math" panose="02040503050406030204" pitchFamily="18" charset="0"/>
                  <a:cs typeface="+mn-cs"/>
                </a:rPr>
                <a:t>1𝑗</a:t>
              </a:r>
              <a:r>
                <a:rPr lang="es-ES" sz="1100" i="0">
                  <a:solidFill>
                    <a:schemeClr val="dk1"/>
                  </a:solidFill>
                  <a:effectLst/>
                  <a:latin typeface="Cambria Math" panose="02040503050406030204" pitchFamily="18" charset="0"/>
                  <a:ea typeface="Cambria Math" panose="02040503050406030204" pitchFamily="18" charset="0"/>
                  <a:cs typeface="+mn-cs"/>
                </a:rPr>
                <a:t>≤</a:t>
              </a:r>
              <a:r>
                <a:rPr lang="es-EC" sz="1100" b="0" i="0">
                  <a:solidFill>
                    <a:schemeClr val="dk1"/>
                  </a:solidFill>
                  <a:effectLst/>
                  <a:latin typeface="Cambria Math" panose="02040503050406030204" pitchFamily="18" charset="0"/>
                  <a:ea typeface="Cambria Math" panose="02040503050406030204" pitchFamily="18" charset="0"/>
                  <a:cs typeface="+mn-cs"/>
                </a:rPr>
                <a:t>𝑇</a:t>
              </a:r>
              <a:r>
                <a:rPr lang="en-US" sz="1100" b="0" i="0">
                  <a:solidFill>
                    <a:schemeClr val="dk1"/>
                  </a:solidFill>
                  <a:effectLst/>
                  <a:latin typeface="Cambria Math" panose="02040503050406030204" pitchFamily="18" charset="0"/>
                  <a:ea typeface="Cambria Math" panose="02040503050406030204" pitchFamily="18" charset="0"/>
                  <a:cs typeface="+mn-cs"/>
                </a:rPr>
                <a:t> 𝑓𝑜𝑟 𝑗=2, …, 15</a:t>
              </a:r>
              <a:r>
                <a:rPr lang="en-US" sz="1100" b="0">
                  <a:solidFill>
                    <a:schemeClr val="dk1"/>
                  </a:solidFill>
                  <a:effectLst/>
                  <a:ea typeface="Cambria Math" panose="02040503050406030204" pitchFamily="18" charset="0"/>
                  <a:cs typeface="+mn-cs"/>
                </a:rPr>
                <a:t>				(5)</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𝑥_𝑖𝑗∈{0,1}  𝑓𝑜𝑟 𝑖=1, …, 15, 𝑗=1, …, 15 </a:t>
              </a:r>
              <a:r>
                <a:rPr lang="en-US" sz="1100" b="0">
                  <a:solidFill>
                    <a:schemeClr val="dk1"/>
                  </a:solidFill>
                  <a:effectLst/>
                  <a:ea typeface="Cambria Math" panose="02040503050406030204" pitchFamily="18" charset="0"/>
                  <a:cs typeface="+mn-cs"/>
                </a:rPr>
                <a:t>			(6)</a:t>
              </a:r>
            </a:p>
            <a:p>
              <a:endParaRPr lang="en-US" sz="1100" b="0">
                <a:solidFill>
                  <a:schemeClr val="dk1"/>
                </a:solidFill>
                <a:effectLst/>
                <a:ea typeface="Cambria Math" panose="02040503050406030204" pitchFamily="18" charset="0"/>
                <a:cs typeface="+mn-cs"/>
              </a:endParaRPr>
            </a:p>
            <a:p>
              <a:r>
                <a:rPr lang="en-US" sz="1100" b="0" i="0">
                  <a:solidFill>
                    <a:schemeClr val="dk1"/>
                  </a:solidFill>
                  <a:effectLst/>
                  <a:latin typeface="Cambria Math" panose="02040503050406030204" pitchFamily="18" charset="0"/>
                  <a:ea typeface="Cambria Math" panose="02040503050406030204" pitchFamily="18" charset="0"/>
                  <a:cs typeface="+mn-cs"/>
                </a:rPr>
                <a:t>𝑖≠𝑗</a:t>
              </a:r>
              <a:r>
                <a:rPr lang="en-US" sz="1100" b="0">
                  <a:solidFill>
                    <a:schemeClr val="dk1"/>
                  </a:solidFill>
                  <a:effectLst/>
                  <a:ea typeface="Cambria Math" panose="02040503050406030204" pitchFamily="18" charset="0"/>
                  <a:cs typeface="+mn-cs"/>
                </a:rPr>
                <a:t>					(7)</a:t>
              </a:r>
            </a:p>
            <a:p>
              <a:pPr algn="l"/>
              <a:endParaRPr lang="es-ES" sz="1100"/>
            </a:p>
          </xdr:txBody>
        </xdr:sp>
      </mc:Fallback>
    </mc:AlternateContent>
    <xdr:clientData/>
  </xdr:twoCellAnchor>
  <xdr:twoCellAnchor editAs="oneCell">
    <xdr:from>
      <xdr:col>1</xdr:col>
      <xdr:colOff>13405</xdr:colOff>
      <xdr:row>45</xdr:row>
      <xdr:rowOff>121355</xdr:rowOff>
    </xdr:from>
    <xdr:to>
      <xdr:col>12</xdr:col>
      <xdr:colOff>5645</xdr:colOff>
      <xdr:row>59</xdr:row>
      <xdr:rowOff>19922</xdr:rowOff>
    </xdr:to>
    <xdr:pic>
      <xdr:nvPicPr>
        <xdr:cNvPr id="3" name="Picture 2">
          <a:extLst>
            <a:ext uri="{FF2B5EF4-FFF2-40B4-BE49-F238E27FC236}">
              <a16:creationId xmlns:a16="http://schemas.microsoft.com/office/drawing/2014/main" id="{26C3A6DC-3196-9B70-3E13-07E724AB1754}"/>
            </a:ext>
          </a:extLst>
        </xdr:cNvPr>
        <xdr:cNvPicPr>
          <a:picLocks noChangeAspect="1"/>
        </xdr:cNvPicPr>
      </xdr:nvPicPr>
      <xdr:blipFill>
        <a:blip xmlns:r="http://schemas.openxmlformats.org/officeDocument/2006/relationships" r:embed="rId1"/>
        <a:stretch>
          <a:fillRect/>
        </a:stretch>
      </xdr:blipFill>
      <xdr:spPr>
        <a:xfrm>
          <a:off x="1042105" y="9932105"/>
          <a:ext cx="4322940" cy="24766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8196-1691-4F2F-AA5E-5D120A290257}">
  <dimension ref="A1:BO71"/>
  <sheetViews>
    <sheetView tabSelected="1" zoomScale="90" zoomScaleNormal="90" workbookViewId="0">
      <selection activeCell="A3" sqref="A3"/>
    </sheetView>
  </sheetViews>
  <sheetFormatPr defaultRowHeight="14.5" x14ac:dyDescent="0.35"/>
  <cols>
    <col min="1" max="1" width="13.453125" customWidth="1"/>
    <col min="2" max="54" width="5.6328125" customWidth="1"/>
    <col min="55" max="55" width="6.453125" bestFit="1" customWidth="1"/>
    <col min="56" max="56" width="7.90625" bestFit="1" customWidth="1"/>
    <col min="57" max="57" width="8.36328125" bestFit="1" customWidth="1"/>
    <col min="58" max="60" width="5.6328125" customWidth="1"/>
    <col min="61" max="61" width="43.81640625" customWidth="1"/>
    <col min="62" max="65" width="5.6328125" customWidth="1"/>
    <col min="66" max="66" width="12.36328125" bestFit="1" customWidth="1"/>
    <col min="67" max="67" width="12.90625" bestFit="1" customWidth="1"/>
    <col min="68" max="68" width="12.36328125" bestFit="1" customWidth="1"/>
    <col min="69" max="69" width="12.26953125" bestFit="1" customWidth="1"/>
  </cols>
  <sheetData>
    <row r="1" spans="1:67" ht="21" x14ac:dyDescent="0.5">
      <c r="A1" s="15" t="s">
        <v>28</v>
      </c>
    </row>
    <row r="2" spans="1:67" x14ac:dyDescent="0.35"/>
    <row r="3" spans="1:67" ht="15" thickBot="1" x14ac:dyDescent="0.4">
      <c r="B3" s="39" t="s">
        <v>39</v>
      </c>
      <c r="C3" s="39"/>
      <c r="D3" s="39"/>
      <c r="E3" s="39"/>
      <c r="F3" s="39"/>
      <c r="G3" s="39"/>
      <c r="H3" s="39"/>
      <c r="I3" s="39"/>
      <c r="J3" s="39"/>
      <c r="K3" s="39"/>
      <c r="L3" s="39"/>
      <c r="M3" s="39"/>
      <c r="N3" s="39"/>
      <c r="O3" s="39"/>
      <c r="P3" s="39"/>
      <c r="Q3" s="39"/>
      <c r="S3" s="39" t="s">
        <v>21</v>
      </c>
      <c r="T3" s="39"/>
      <c r="U3" s="39"/>
      <c r="V3" s="39"/>
      <c r="W3" s="39"/>
      <c r="X3" s="39"/>
      <c r="Y3" s="39"/>
      <c r="Z3" s="39"/>
      <c r="AA3" s="39"/>
      <c r="AB3" s="39"/>
      <c r="AC3" s="39"/>
      <c r="AD3" s="39"/>
      <c r="AE3" s="39"/>
      <c r="AF3" s="39"/>
      <c r="AG3" s="39"/>
      <c r="AH3" s="39"/>
      <c r="AI3" s="39"/>
      <c r="AJ3" s="39"/>
      <c r="AK3" s="39"/>
      <c r="AM3" s="39" t="s">
        <v>20</v>
      </c>
      <c r="AN3" s="39"/>
      <c r="AO3" s="39"/>
      <c r="AP3" s="39"/>
      <c r="AQ3" s="39"/>
      <c r="AR3" s="39"/>
      <c r="AS3" s="39"/>
      <c r="AT3" s="39"/>
      <c r="AU3" s="39"/>
      <c r="AV3" s="39"/>
      <c r="AW3" s="39"/>
      <c r="AX3" s="39"/>
      <c r="AY3" s="39"/>
      <c r="AZ3" s="39"/>
      <c r="BA3" s="39"/>
      <c r="BB3" s="39"/>
      <c r="BC3" s="39"/>
      <c r="BD3" s="39"/>
      <c r="BE3" s="39"/>
      <c r="BF3" s="39"/>
      <c r="BG3" s="39"/>
    </row>
    <row r="4" spans="1:67" ht="15" thickTop="1" x14ac:dyDescent="0.35">
      <c r="C4" s="1">
        <v>1</v>
      </c>
      <c r="D4" s="1">
        <v>2</v>
      </c>
      <c r="E4" s="1">
        <v>3</v>
      </c>
      <c r="F4" s="1">
        <v>4</v>
      </c>
      <c r="G4" s="1">
        <v>5</v>
      </c>
      <c r="H4" s="1">
        <v>6</v>
      </c>
      <c r="I4" s="1">
        <v>7</v>
      </c>
      <c r="J4" s="1">
        <v>8</v>
      </c>
      <c r="K4" s="1">
        <v>9</v>
      </c>
      <c r="L4" s="1">
        <v>10</v>
      </c>
      <c r="M4" s="1">
        <v>11</v>
      </c>
      <c r="N4" s="1">
        <v>12</v>
      </c>
      <c r="O4" s="1">
        <v>13</v>
      </c>
      <c r="P4" s="1">
        <v>14</v>
      </c>
      <c r="Q4" s="1">
        <v>15</v>
      </c>
      <c r="S4" s="3"/>
      <c r="T4" s="1">
        <v>1</v>
      </c>
      <c r="U4" s="1">
        <v>2</v>
      </c>
      <c r="V4" s="1">
        <v>3</v>
      </c>
      <c r="W4" s="1">
        <v>4</v>
      </c>
      <c r="X4" s="1">
        <v>5</v>
      </c>
      <c r="Y4" s="1">
        <v>6</v>
      </c>
      <c r="Z4" s="1">
        <v>7</v>
      </c>
      <c r="AA4" s="1">
        <v>8</v>
      </c>
      <c r="AB4" s="1">
        <v>9</v>
      </c>
      <c r="AC4" s="1">
        <v>10</v>
      </c>
      <c r="AD4" s="1">
        <v>11</v>
      </c>
      <c r="AE4" s="1">
        <v>12</v>
      </c>
      <c r="AF4" s="1">
        <v>13</v>
      </c>
      <c r="AG4" s="1">
        <v>14</v>
      </c>
      <c r="AH4" s="1">
        <v>15</v>
      </c>
      <c r="AN4" s="1">
        <v>1</v>
      </c>
      <c r="AO4" s="1">
        <v>2</v>
      </c>
      <c r="AP4" s="1">
        <v>3</v>
      </c>
      <c r="AQ4" s="1">
        <v>4</v>
      </c>
      <c r="AR4" s="1">
        <v>5</v>
      </c>
      <c r="AS4" s="1">
        <v>6</v>
      </c>
      <c r="AT4" s="1">
        <v>7</v>
      </c>
      <c r="AU4" s="1">
        <v>8</v>
      </c>
      <c r="AV4" s="1">
        <v>9</v>
      </c>
      <c r="AW4" s="1">
        <v>10</v>
      </c>
      <c r="AX4" s="1">
        <v>11</v>
      </c>
      <c r="AY4" s="1">
        <v>12</v>
      </c>
      <c r="AZ4" s="1">
        <v>13</v>
      </c>
      <c r="BA4" s="1">
        <v>14</v>
      </c>
      <c r="BB4" s="1">
        <v>15</v>
      </c>
      <c r="BC4" s="3" t="s">
        <v>24</v>
      </c>
      <c r="BD4" s="3" t="s">
        <v>25</v>
      </c>
      <c r="BE4" s="3" t="s">
        <v>26</v>
      </c>
      <c r="BK4" s="8"/>
      <c r="BL4" s="9"/>
    </row>
    <row r="5" spans="1:67" x14ac:dyDescent="0.35">
      <c r="A5" s="12" t="s">
        <v>0</v>
      </c>
      <c r="B5" s="20">
        <v>1</v>
      </c>
      <c r="C5" s="28">
        <v>150</v>
      </c>
      <c r="D5" s="2">
        <v>20</v>
      </c>
      <c r="E5" s="2">
        <v>25</v>
      </c>
      <c r="F5" s="2">
        <v>35</v>
      </c>
      <c r="G5" s="2">
        <v>65</v>
      </c>
      <c r="H5" s="2">
        <v>90</v>
      </c>
      <c r="I5" s="2">
        <v>85</v>
      </c>
      <c r="J5" s="2">
        <v>80</v>
      </c>
      <c r="K5" s="2">
        <v>86</v>
      </c>
      <c r="L5" s="2">
        <v>25</v>
      </c>
      <c r="M5" s="2">
        <v>35</v>
      </c>
      <c r="N5" s="2">
        <v>20</v>
      </c>
      <c r="O5" s="2">
        <v>44</v>
      </c>
      <c r="P5" s="2">
        <v>35</v>
      </c>
      <c r="Q5" s="2">
        <v>82</v>
      </c>
      <c r="S5" s="20">
        <v>1</v>
      </c>
      <c r="T5" s="14">
        <v>0</v>
      </c>
      <c r="U5" s="6">
        <v>1</v>
      </c>
      <c r="V5" s="6">
        <v>0</v>
      </c>
      <c r="W5" s="6">
        <v>0</v>
      </c>
      <c r="X5" s="6">
        <v>0</v>
      </c>
      <c r="Y5" s="6">
        <v>0</v>
      </c>
      <c r="Z5" s="6">
        <v>0</v>
      </c>
      <c r="AA5" s="6">
        <v>0</v>
      </c>
      <c r="AB5" s="6">
        <v>0</v>
      </c>
      <c r="AC5" s="6">
        <v>0</v>
      </c>
      <c r="AD5" s="6">
        <v>0</v>
      </c>
      <c r="AE5" s="6">
        <v>0</v>
      </c>
      <c r="AF5" s="6">
        <v>0</v>
      </c>
      <c r="AG5" s="6">
        <v>1</v>
      </c>
      <c r="AH5" s="6">
        <v>0</v>
      </c>
      <c r="AI5" s="13">
        <f>SUM(T5:AH5)</f>
        <v>2</v>
      </c>
      <c r="AJ5" s="7"/>
      <c r="AK5" s="5"/>
      <c r="AM5" s="20">
        <v>1</v>
      </c>
      <c r="AN5" s="14">
        <v>0</v>
      </c>
      <c r="AO5" s="10">
        <v>99</v>
      </c>
      <c r="AP5" s="10">
        <v>0</v>
      </c>
      <c r="AQ5" s="10">
        <v>0</v>
      </c>
      <c r="AR5" s="10">
        <v>0</v>
      </c>
      <c r="AS5" s="10">
        <v>0</v>
      </c>
      <c r="AT5" s="10">
        <v>0</v>
      </c>
      <c r="AU5" s="10">
        <v>0</v>
      </c>
      <c r="AV5" s="10">
        <v>0</v>
      </c>
      <c r="AW5" s="10">
        <v>0</v>
      </c>
      <c r="AX5" s="10">
        <v>0</v>
      </c>
      <c r="AY5" s="10">
        <v>0</v>
      </c>
      <c r="AZ5" s="10">
        <v>0</v>
      </c>
      <c r="BA5" s="10">
        <v>100</v>
      </c>
      <c r="BB5" s="10">
        <v>0</v>
      </c>
      <c r="BC5" s="32">
        <f>AN20</f>
        <v>0</v>
      </c>
      <c r="BD5" s="33">
        <f t="shared" ref="BD5:BD19" si="0">SUM(AN5:BB5)</f>
        <v>199</v>
      </c>
      <c r="BE5" s="34" t="s">
        <v>30</v>
      </c>
      <c r="BF5" s="19" t="s">
        <v>29</v>
      </c>
      <c r="BG5" s="9"/>
      <c r="BI5" s="18" t="s">
        <v>33</v>
      </c>
      <c r="BJ5" s="35">
        <f>AI5</f>
        <v>2</v>
      </c>
      <c r="BK5" s="7" t="s">
        <v>16</v>
      </c>
      <c r="BL5" s="9">
        <v>6</v>
      </c>
      <c r="BM5" s="38" t="s">
        <v>35</v>
      </c>
      <c r="BN5" s="38"/>
      <c r="BO5" s="38"/>
    </row>
    <row r="6" spans="1:67" x14ac:dyDescent="0.35">
      <c r="A6" s="12" t="s">
        <v>1</v>
      </c>
      <c r="B6" s="20">
        <v>2</v>
      </c>
      <c r="C6" s="2">
        <v>20</v>
      </c>
      <c r="D6" s="28">
        <v>150</v>
      </c>
      <c r="E6" s="2">
        <v>15</v>
      </c>
      <c r="F6" s="2">
        <v>35</v>
      </c>
      <c r="G6" s="2">
        <v>60</v>
      </c>
      <c r="H6" s="2">
        <v>55</v>
      </c>
      <c r="I6" s="2">
        <v>57</v>
      </c>
      <c r="J6" s="2">
        <v>85</v>
      </c>
      <c r="K6" s="2">
        <v>90</v>
      </c>
      <c r="L6" s="2">
        <v>25</v>
      </c>
      <c r="M6" s="2">
        <v>35</v>
      </c>
      <c r="N6" s="2">
        <v>30</v>
      </c>
      <c r="O6" s="2">
        <v>37</v>
      </c>
      <c r="P6" s="2">
        <v>20</v>
      </c>
      <c r="Q6" s="2">
        <v>40</v>
      </c>
      <c r="S6" s="20">
        <v>2</v>
      </c>
      <c r="T6" s="6">
        <v>0</v>
      </c>
      <c r="U6" s="14">
        <v>0</v>
      </c>
      <c r="V6" s="6">
        <v>1</v>
      </c>
      <c r="W6" s="6">
        <v>0</v>
      </c>
      <c r="X6" s="6">
        <v>0</v>
      </c>
      <c r="Y6" s="6">
        <v>0</v>
      </c>
      <c r="Z6" s="6">
        <v>0</v>
      </c>
      <c r="AA6" s="6">
        <v>0</v>
      </c>
      <c r="AB6" s="6">
        <v>0</v>
      </c>
      <c r="AC6" s="6">
        <v>0</v>
      </c>
      <c r="AD6" s="6">
        <v>0</v>
      </c>
      <c r="AE6" s="6">
        <v>0</v>
      </c>
      <c r="AF6" s="6">
        <v>0</v>
      </c>
      <c r="AG6" s="6">
        <v>0</v>
      </c>
      <c r="AH6" s="6">
        <v>0</v>
      </c>
      <c r="AI6" s="13">
        <f t="shared" ref="AI6:AI19" si="1">SUM(T6:AH6)</f>
        <v>1</v>
      </c>
      <c r="AJ6" s="7" t="s">
        <v>15</v>
      </c>
      <c r="AK6" s="5">
        <v>1</v>
      </c>
      <c r="AM6" s="20">
        <v>2</v>
      </c>
      <c r="AN6" s="6">
        <v>0</v>
      </c>
      <c r="AO6" s="14">
        <v>0</v>
      </c>
      <c r="AP6" s="10">
        <v>79</v>
      </c>
      <c r="AQ6" s="10">
        <v>0</v>
      </c>
      <c r="AR6" s="10">
        <v>0</v>
      </c>
      <c r="AS6" s="10">
        <v>0</v>
      </c>
      <c r="AT6" s="10">
        <v>0</v>
      </c>
      <c r="AU6" s="10">
        <v>0</v>
      </c>
      <c r="AV6" s="10">
        <v>0</v>
      </c>
      <c r="AW6" s="10">
        <v>0</v>
      </c>
      <c r="AX6" s="10">
        <v>0</v>
      </c>
      <c r="AY6" s="10">
        <v>0</v>
      </c>
      <c r="AZ6" s="10">
        <v>0</v>
      </c>
      <c r="BA6" s="10">
        <v>0</v>
      </c>
      <c r="BB6" s="10">
        <v>0</v>
      </c>
      <c r="BC6" s="32">
        <f>AO20</f>
        <v>99</v>
      </c>
      <c r="BD6" s="32">
        <f>SUM(AN6:BB6)</f>
        <v>79</v>
      </c>
      <c r="BE6" s="25">
        <f t="shared" ref="BE6:BE19" si="2">BC6-BD6</f>
        <v>20</v>
      </c>
      <c r="BF6" s="7" t="s">
        <v>15</v>
      </c>
      <c r="BG6" s="26">
        <f>SUMPRODUCT(D$5:D$19,U$5:U$19)</f>
        <v>20</v>
      </c>
      <c r="BI6" s="18" t="s">
        <v>32</v>
      </c>
      <c r="BJ6" s="36">
        <v>100</v>
      </c>
    </row>
    <row r="7" spans="1:67" x14ac:dyDescent="0.35">
      <c r="A7" s="12" t="s">
        <v>2</v>
      </c>
      <c r="B7" s="20">
        <v>3</v>
      </c>
      <c r="C7" s="2">
        <v>25</v>
      </c>
      <c r="D7" s="2">
        <v>15</v>
      </c>
      <c r="E7" s="28">
        <v>150</v>
      </c>
      <c r="F7" s="2">
        <v>30</v>
      </c>
      <c r="G7" s="2">
        <v>50</v>
      </c>
      <c r="H7" s="2">
        <v>70</v>
      </c>
      <c r="I7" s="2">
        <v>55</v>
      </c>
      <c r="J7" s="2">
        <v>50</v>
      </c>
      <c r="K7" s="2">
        <v>65</v>
      </c>
      <c r="L7" s="2">
        <v>10</v>
      </c>
      <c r="M7" s="2">
        <v>25</v>
      </c>
      <c r="N7" s="2">
        <v>15</v>
      </c>
      <c r="O7" s="2">
        <v>24</v>
      </c>
      <c r="P7" s="2">
        <v>20</v>
      </c>
      <c r="Q7" s="2">
        <v>90</v>
      </c>
      <c r="S7" s="20">
        <v>3</v>
      </c>
      <c r="T7" s="6">
        <v>0</v>
      </c>
      <c r="U7" s="6">
        <v>0</v>
      </c>
      <c r="V7" s="14">
        <v>0</v>
      </c>
      <c r="W7" s="6">
        <v>0</v>
      </c>
      <c r="X7" s="6">
        <v>0</v>
      </c>
      <c r="Y7" s="6">
        <v>0</v>
      </c>
      <c r="Z7" s="6">
        <v>0</v>
      </c>
      <c r="AA7" s="6">
        <v>0</v>
      </c>
      <c r="AB7" s="6">
        <v>0</v>
      </c>
      <c r="AC7" s="6">
        <v>1</v>
      </c>
      <c r="AD7" s="6">
        <v>0</v>
      </c>
      <c r="AE7" s="6">
        <v>0</v>
      </c>
      <c r="AF7" s="6">
        <v>0</v>
      </c>
      <c r="AG7" s="6">
        <v>0</v>
      </c>
      <c r="AH7" s="6">
        <v>0</v>
      </c>
      <c r="AI7" s="13">
        <f t="shared" si="1"/>
        <v>1</v>
      </c>
      <c r="AJ7" s="7" t="s">
        <v>15</v>
      </c>
      <c r="AK7" s="5">
        <v>1</v>
      </c>
      <c r="AM7" s="20">
        <v>3</v>
      </c>
      <c r="AN7" s="6">
        <v>0</v>
      </c>
      <c r="AO7" s="10">
        <v>0</v>
      </c>
      <c r="AP7" s="29">
        <v>0</v>
      </c>
      <c r="AQ7" s="10">
        <v>0</v>
      </c>
      <c r="AR7" s="10">
        <v>0</v>
      </c>
      <c r="AS7" s="10">
        <v>0</v>
      </c>
      <c r="AT7" s="10">
        <v>0</v>
      </c>
      <c r="AU7" s="10">
        <v>0</v>
      </c>
      <c r="AV7" s="10">
        <v>0</v>
      </c>
      <c r="AW7" s="10">
        <v>64</v>
      </c>
      <c r="AX7" s="10">
        <v>0</v>
      </c>
      <c r="AY7" s="10">
        <v>0</v>
      </c>
      <c r="AZ7" s="10">
        <v>0</v>
      </c>
      <c r="BA7" s="10">
        <v>0</v>
      </c>
      <c r="BB7" s="10">
        <v>0</v>
      </c>
      <c r="BC7" s="32">
        <f>AP20</f>
        <v>79</v>
      </c>
      <c r="BD7" s="32">
        <f t="shared" si="0"/>
        <v>64</v>
      </c>
      <c r="BE7" s="25">
        <f t="shared" si="2"/>
        <v>15</v>
      </c>
      <c r="BF7" s="7" t="s">
        <v>15</v>
      </c>
      <c r="BG7" s="26">
        <f>SUMPRODUCT(E$5:E$19,V$5:V$19)</f>
        <v>15</v>
      </c>
    </row>
    <row r="8" spans="1:67" x14ac:dyDescent="0.35">
      <c r="A8" s="12" t="s">
        <v>3</v>
      </c>
      <c r="B8" s="20">
        <v>4</v>
      </c>
      <c r="C8" s="2">
        <v>35</v>
      </c>
      <c r="D8" s="2">
        <v>35</v>
      </c>
      <c r="E8" s="2">
        <v>30</v>
      </c>
      <c r="F8" s="28">
        <v>150</v>
      </c>
      <c r="G8" s="2">
        <v>45</v>
      </c>
      <c r="H8" s="2">
        <v>60</v>
      </c>
      <c r="I8" s="2">
        <v>53</v>
      </c>
      <c r="J8" s="2">
        <v>55</v>
      </c>
      <c r="K8" s="2">
        <v>47</v>
      </c>
      <c r="L8" s="2">
        <v>12</v>
      </c>
      <c r="M8" s="2">
        <v>22</v>
      </c>
      <c r="N8" s="2">
        <v>20</v>
      </c>
      <c r="O8" s="2">
        <v>12</v>
      </c>
      <c r="P8" s="2">
        <v>10</v>
      </c>
      <c r="Q8" s="2">
        <v>21</v>
      </c>
      <c r="S8" s="20">
        <v>4</v>
      </c>
      <c r="T8" s="6">
        <v>0</v>
      </c>
      <c r="U8" s="6">
        <v>0</v>
      </c>
      <c r="V8" s="6">
        <v>0</v>
      </c>
      <c r="W8" s="14">
        <v>0</v>
      </c>
      <c r="X8" s="6">
        <v>0</v>
      </c>
      <c r="Y8" s="6">
        <v>0</v>
      </c>
      <c r="Z8" s="6">
        <v>0</v>
      </c>
      <c r="AA8" s="6">
        <v>0</v>
      </c>
      <c r="AB8" s="6">
        <v>0</v>
      </c>
      <c r="AC8" s="6">
        <v>0</v>
      </c>
      <c r="AD8" s="6">
        <v>0</v>
      </c>
      <c r="AE8" s="6">
        <v>0</v>
      </c>
      <c r="AF8" s="6">
        <v>1</v>
      </c>
      <c r="AG8" s="6">
        <v>0</v>
      </c>
      <c r="AH8" s="6">
        <v>0</v>
      </c>
      <c r="AI8" s="13">
        <f t="shared" si="1"/>
        <v>1</v>
      </c>
      <c r="AJ8" s="7" t="s">
        <v>15</v>
      </c>
      <c r="AK8" s="5">
        <v>1</v>
      </c>
      <c r="AM8" s="20">
        <v>4</v>
      </c>
      <c r="AN8" s="6">
        <v>0</v>
      </c>
      <c r="AO8" s="10">
        <v>0</v>
      </c>
      <c r="AP8" s="10">
        <v>0</v>
      </c>
      <c r="AQ8" s="29">
        <v>0</v>
      </c>
      <c r="AR8" s="10">
        <v>0</v>
      </c>
      <c r="AS8" s="10">
        <v>0</v>
      </c>
      <c r="AT8" s="10">
        <v>0</v>
      </c>
      <c r="AU8" s="10">
        <v>0</v>
      </c>
      <c r="AV8" s="10">
        <v>0</v>
      </c>
      <c r="AW8" s="10">
        <v>0</v>
      </c>
      <c r="AX8" s="10">
        <v>0</v>
      </c>
      <c r="AY8" s="10">
        <v>0</v>
      </c>
      <c r="AZ8" s="10">
        <v>55</v>
      </c>
      <c r="BA8" s="10">
        <v>0</v>
      </c>
      <c r="BB8" s="10">
        <v>0</v>
      </c>
      <c r="BC8" s="32">
        <f>AQ20</f>
        <v>65</v>
      </c>
      <c r="BD8" s="32">
        <f t="shared" si="0"/>
        <v>55</v>
      </c>
      <c r="BE8" s="25">
        <f t="shared" si="2"/>
        <v>10</v>
      </c>
      <c r="BF8" s="7" t="s">
        <v>15</v>
      </c>
      <c r="BG8" s="26">
        <f>SUMPRODUCT(F$5:F$19,W$5:W$19)</f>
        <v>10</v>
      </c>
      <c r="BI8" s="18" t="s">
        <v>27</v>
      </c>
      <c r="BJ8" s="11">
        <f>100*BJ5+BJ6</f>
        <v>300</v>
      </c>
      <c r="BK8" s="3"/>
      <c r="BL8" s="3"/>
    </row>
    <row r="9" spans="1:67" x14ac:dyDescent="0.35">
      <c r="A9" s="12" t="s">
        <v>4</v>
      </c>
      <c r="B9" s="20">
        <v>5</v>
      </c>
      <c r="C9" s="2">
        <v>65</v>
      </c>
      <c r="D9" s="2">
        <v>60</v>
      </c>
      <c r="E9" s="2">
        <v>50</v>
      </c>
      <c r="F9" s="2">
        <v>45</v>
      </c>
      <c r="G9" s="28">
        <v>150</v>
      </c>
      <c r="H9" s="2">
        <v>46</v>
      </c>
      <c r="I9" s="2">
        <v>15</v>
      </c>
      <c r="J9" s="2">
        <v>45</v>
      </c>
      <c r="K9" s="2">
        <v>75</v>
      </c>
      <c r="L9" s="2">
        <v>25</v>
      </c>
      <c r="M9" s="2">
        <v>11</v>
      </c>
      <c r="N9" s="2">
        <v>19</v>
      </c>
      <c r="O9" s="2">
        <v>15</v>
      </c>
      <c r="P9" s="2">
        <v>25</v>
      </c>
      <c r="Q9" s="2">
        <v>25</v>
      </c>
      <c r="S9" s="20">
        <v>5</v>
      </c>
      <c r="T9" s="6">
        <v>0</v>
      </c>
      <c r="U9" s="6">
        <v>0</v>
      </c>
      <c r="V9" s="6">
        <v>0</v>
      </c>
      <c r="W9" s="6">
        <v>0</v>
      </c>
      <c r="X9" s="14">
        <v>0</v>
      </c>
      <c r="Y9" s="6">
        <v>0</v>
      </c>
      <c r="Z9" s="6">
        <v>1</v>
      </c>
      <c r="AA9" s="6">
        <v>0</v>
      </c>
      <c r="AB9" s="6">
        <v>0</v>
      </c>
      <c r="AC9" s="6">
        <v>0</v>
      </c>
      <c r="AD9" s="6">
        <v>0</v>
      </c>
      <c r="AE9" s="6">
        <v>0</v>
      </c>
      <c r="AF9" s="6">
        <v>0</v>
      </c>
      <c r="AG9" s="6">
        <v>0</v>
      </c>
      <c r="AH9" s="6">
        <v>0</v>
      </c>
      <c r="AI9" s="13">
        <f t="shared" si="1"/>
        <v>1</v>
      </c>
      <c r="AJ9" s="7" t="s">
        <v>15</v>
      </c>
      <c r="AK9" s="5">
        <v>1</v>
      </c>
      <c r="AM9" s="20">
        <v>5</v>
      </c>
      <c r="AN9" s="6">
        <v>0</v>
      </c>
      <c r="AO9" s="10">
        <v>0</v>
      </c>
      <c r="AP9" s="10">
        <v>0</v>
      </c>
      <c r="AQ9" s="10">
        <v>0</v>
      </c>
      <c r="AR9" s="29">
        <v>0</v>
      </c>
      <c r="AS9" s="10">
        <v>0</v>
      </c>
      <c r="AT9" s="10">
        <v>30</v>
      </c>
      <c r="AU9" s="10">
        <v>0</v>
      </c>
      <c r="AV9" s="10">
        <v>0</v>
      </c>
      <c r="AW9" s="10">
        <v>0</v>
      </c>
      <c r="AX9" s="10">
        <v>0</v>
      </c>
      <c r="AY9" s="10">
        <v>0</v>
      </c>
      <c r="AZ9" s="10">
        <v>0</v>
      </c>
      <c r="BA9" s="10">
        <v>0</v>
      </c>
      <c r="BB9" s="10">
        <v>0</v>
      </c>
      <c r="BC9" s="32">
        <f>AR20</f>
        <v>41</v>
      </c>
      <c r="BD9" s="32">
        <f t="shared" si="0"/>
        <v>30</v>
      </c>
      <c r="BE9" s="25">
        <f t="shared" si="2"/>
        <v>11</v>
      </c>
      <c r="BF9" s="7" t="s">
        <v>15</v>
      </c>
      <c r="BG9" s="26">
        <f>SUMPRODUCT(G$5:G$19,X$5:X$19)</f>
        <v>11</v>
      </c>
    </row>
    <row r="10" spans="1:67" x14ac:dyDescent="0.35">
      <c r="A10" s="12" t="s">
        <v>5</v>
      </c>
      <c r="B10" s="20">
        <v>6</v>
      </c>
      <c r="C10" s="2">
        <v>90</v>
      </c>
      <c r="D10" s="2">
        <v>55</v>
      </c>
      <c r="E10" s="2">
        <v>70</v>
      </c>
      <c r="F10" s="2">
        <v>60</v>
      </c>
      <c r="G10" s="2">
        <v>46</v>
      </c>
      <c r="H10" s="28">
        <v>150</v>
      </c>
      <c r="I10" s="2">
        <v>15</v>
      </c>
      <c r="J10" s="2">
        <v>15</v>
      </c>
      <c r="K10" s="2">
        <v>25</v>
      </c>
      <c r="L10" s="2">
        <v>45</v>
      </c>
      <c r="M10" s="2">
        <v>65</v>
      </c>
      <c r="N10" s="2">
        <v>53</v>
      </c>
      <c r="O10" s="2">
        <v>43</v>
      </c>
      <c r="P10" s="2">
        <v>63</v>
      </c>
      <c r="Q10" s="2">
        <v>70</v>
      </c>
      <c r="S10" s="20">
        <v>6</v>
      </c>
      <c r="T10" s="6">
        <v>1</v>
      </c>
      <c r="U10" s="6">
        <v>0</v>
      </c>
      <c r="V10" s="6">
        <v>0</v>
      </c>
      <c r="W10" s="6">
        <v>0</v>
      </c>
      <c r="X10" s="6">
        <v>0</v>
      </c>
      <c r="Y10" s="14">
        <v>0</v>
      </c>
      <c r="Z10" s="6">
        <v>0</v>
      </c>
      <c r="AA10" s="6">
        <v>0</v>
      </c>
      <c r="AB10" s="6">
        <v>0</v>
      </c>
      <c r="AC10" s="6">
        <v>0</v>
      </c>
      <c r="AD10" s="6">
        <v>0</v>
      </c>
      <c r="AE10" s="6">
        <v>0</v>
      </c>
      <c r="AF10" s="6">
        <v>0</v>
      </c>
      <c r="AG10" s="6">
        <v>0</v>
      </c>
      <c r="AH10" s="6">
        <v>0</v>
      </c>
      <c r="AI10" s="13">
        <f t="shared" si="1"/>
        <v>1</v>
      </c>
      <c r="AJ10" s="7" t="s">
        <v>15</v>
      </c>
      <c r="AK10" s="5">
        <v>1</v>
      </c>
      <c r="AM10" s="20">
        <v>6</v>
      </c>
      <c r="AN10" s="6">
        <v>0</v>
      </c>
      <c r="AO10" s="10">
        <v>0</v>
      </c>
      <c r="AP10" s="10">
        <v>0</v>
      </c>
      <c r="AQ10" s="10">
        <v>0</v>
      </c>
      <c r="AR10" s="10">
        <v>0</v>
      </c>
      <c r="AS10" s="29">
        <v>0</v>
      </c>
      <c r="AT10" s="10">
        <v>0</v>
      </c>
      <c r="AU10" s="10">
        <v>0</v>
      </c>
      <c r="AV10" s="10">
        <v>0</v>
      </c>
      <c r="AW10" s="10">
        <v>0</v>
      </c>
      <c r="AX10" s="10">
        <v>0</v>
      </c>
      <c r="AY10" s="10">
        <v>0</v>
      </c>
      <c r="AZ10" s="10">
        <v>0</v>
      </c>
      <c r="BA10" s="10">
        <v>0</v>
      </c>
      <c r="BB10" s="10">
        <v>0</v>
      </c>
      <c r="BC10" s="32">
        <f>AS20</f>
        <v>15</v>
      </c>
      <c r="BD10" s="32">
        <f t="shared" si="0"/>
        <v>0</v>
      </c>
      <c r="BE10" s="25">
        <f t="shared" si="2"/>
        <v>15</v>
      </c>
      <c r="BF10" s="7" t="s">
        <v>15</v>
      </c>
      <c r="BG10" s="26">
        <f>SUMPRODUCT(H$5:H$19,Y$5:Y$19)</f>
        <v>15</v>
      </c>
      <c r="BI10" s="37"/>
    </row>
    <row r="11" spans="1:67" x14ac:dyDescent="0.35">
      <c r="A11" s="12" t="s">
        <v>6</v>
      </c>
      <c r="B11" s="20">
        <v>7</v>
      </c>
      <c r="C11" s="2">
        <v>85</v>
      </c>
      <c r="D11" s="2">
        <v>57</v>
      </c>
      <c r="E11" s="2">
        <v>55</v>
      </c>
      <c r="F11" s="2">
        <v>53</v>
      </c>
      <c r="G11" s="2">
        <v>15</v>
      </c>
      <c r="H11" s="2">
        <v>15</v>
      </c>
      <c r="I11" s="28">
        <v>150</v>
      </c>
      <c r="J11" s="2">
        <v>17</v>
      </c>
      <c r="K11" s="2">
        <v>25</v>
      </c>
      <c r="L11" s="2">
        <v>41</v>
      </c>
      <c r="M11" s="2">
        <v>25</v>
      </c>
      <c r="N11" s="2">
        <v>33</v>
      </c>
      <c r="O11" s="2">
        <v>27</v>
      </c>
      <c r="P11" s="2">
        <v>45</v>
      </c>
      <c r="Q11" s="2">
        <v>30</v>
      </c>
      <c r="S11" s="20">
        <v>7</v>
      </c>
      <c r="T11" s="6">
        <v>0</v>
      </c>
      <c r="U11" s="6">
        <v>0</v>
      </c>
      <c r="V11" s="6">
        <v>0</v>
      </c>
      <c r="W11" s="6">
        <v>0</v>
      </c>
      <c r="X11" s="6">
        <v>0</v>
      </c>
      <c r="Y11" s="6">
        <v>1</v>
      </c>
      <c r="Z11" s="14">
        <v>0</v>
      </c>
      <c r="AA11" s="6">
        <v>0</v>
      </c>
      <c r="AB11" s="6">
        <v>0</v>
      </c>
      <c r="AC11" s="6">
        <v>0</v>
      </c>
      <c r="AD11" s="6">
        <v>0</v>
      </c>
      <c r="AE11" s="6">
        <v>0</v>
      </c>
      <c r="AF11" s="6">
        <v>0</v>
      </c>
      <c r="AG11" s="6">
        <v>0</v>
      </c>
      <c r="AH11" s="6">
        <v>0</v>
      </c>
      <c r="AI11" s="13">
        <f t="shared" si="1"/>
        <v>1</v>
      </c>
      <c r="AJ11" s="7" t="s">
        <v>15</v>
      </c>
      <c r="AK11" s="5">
        <v>1</v>
      </c>
      <c r="AM11" s="20">
        <v>7</v>
      </c>
      <c r="AN11" s="6">
        <v>0</v>
      </c>
      <c r="AO11" s="10">
        <v>0</v>
      </c>
      <c r="AP11" s="10">
        <v>0</v>
      </c>
      <c r="AQ11" s="10">
        <v>0</v>
      </c>
      <c r="AR11" s="10">
        <v>0</v>
      </c>
      <c r="AS11" s="10">
        <v>15</v>
      </c>
      <c r="AT11" s="29">
        <v>0</v>
      </c>
      <c r="AU11" s="10">
        <v>0</v>
      </c>
      <c r="AV11" s="10">
        <v>0</v>
      </c>
      <c r="AW11" s="10">
        <v>0</v>
      </c>
      <c r="AX11" s="10">
        <v>0</v>
      </c>
      <c r="AY11" s="10">
        <v>0</v>
      </c>
      <c r="AZ11" s="10">
        <v>0</v>
      </c>
      <c r="BA11" s="10">
        <v>0</v>
      </c>
      <c r="BB11" s="10">
        <v>0</v>
      </c>
      <c r="BC11" s="32">
        <f>AT20</f>
        <v>30</v>
      </c>
      <c r="BD11" s="32">
        <f t="shared" si="0"/>
        <v>15</v>
      </c>
      <c r="BE11" s="25">
        <f t="shared" si="2"/>
        <v>15</v>
      </c>
      <c r="BF11" s="7" t="s">
        <v>15</v>
      </c>
      <c r="BG11" s="26">
        <f>SUMPRODUCT(I$5:I$19,Z$5:Z$19)</f>
        <v>15</v>
      </c>
      <c r="BI11" s="16"/>
    </row>
    <row r="12" spans="1:67" x14ac:dyDescent="0.35">
      <c r="A12" s="12" t="s">
        <v>14</v>
      </c>
      <c r="B12" s="20">
        <v>8</v>
      </c>
      <c r="C12" s="2">
        <v>80</v>
      </c>
      <c r="D12" s="2">
        <v>85</v>
      </c>
      <c r="E12" s="2">
        <v>50</v>
      </c>
      <c r="F12" s="2">
        <v>55</v>
      </c>
      <c r="G12" s="2">
        <v>45</v>
      </c>
      <c r="H12" s="2">
        <v>15</v>
      </c>
      <c r="I12" s="2">
        <v>17</v>
      </c>
      <c r="J12" s="28">
        <v>150</v>
      </c>
      <c r="K12" s="2">
        <v>25</v>
      </c>
      <c r="L12" s="2">
        <v>40</v>
      </c>
      <c r="M12" s="2">
        <v>34</v>
      </c>
      <c r="N12" s="2">
        <v>32</v>
      </c>
      <c r="O12" s="2">
        <v>20</v>
      </c>
      <c r="P12" s="2">
        <v>30</v>
      </c>
      <c r="Q12" s="2">
        <v>10</v>
      </c>
      <c r="S12" s="20">
        <v>8</v>
      </c>
      <c r="T12" s="6">
        <v>0</v>
      </c>
      <c r="U12" s="6">
        <v>0</v>
      </c>
      <c r="V12" s="6">
        <v>0</v>
      </c>
      <c r="W12" s="6">
        <v>0</v>
      </c>
      <c r="X12" s="6">
        <v>0</v>
      </c>
      <c r="Y12" s="6">
        <v>0</v>
      </c>
      <c r="Z12" s="6">
        <v>0</v>
      </c>
      <c r="AA12" s="14">
        <v>0</v>
      </c>
      <c r="AB12" s="6">
        <v>0</v>
      </c>
      <c r="AC12" s="6">
        <v>0</v>
      </c>
      <c r="AD12" s="6">
        <v>0</v>
      </c>
      <c r="AE12" s="6">
        <v>0</v>
      </c>
      <c r="AF12" s="6">
        <v>0</v>
      </c>
      <c r="AG12" s="6">
        <v>0</v>
      </c>
      <c r="AH12" s="6">
        <v>1</v>
      </c>
      <c r="AI12" s="13">
        <f t="shared" si="1"/>
        <v>1</v>
      </c>
      <c r="AJ12" s="7" t="s">
        <v>15</v>
      </c>
      <c r="AK12" s="5">
        <v>1</v>
      </c>
      <c r="AM12" s="20">
        <v>8</v>
      </c>
      <c r="AN12" s="6">
        <v>0</v>
      </c>
      <c r="AO12" s="10">
        <v>0</v>
      </c>
      <c r="AP12" s="10">
        <v>0</v>
      </c>
      <c r="AQ12" s="10">
        <v>0</v>
      </c>
      <c r="AR12" s="10">
        <v>0</v>
      </c>
      <c r="AS12" s="10">
        <v>0</v>
      </c>
      <c r="AT12" s="10">
        <v>0</v>
      </c>
      <c r="AU12" s="29">
        <v>0</v>
      </c>
      <c r="AV12" s="10">
        <v>0</v>
      </c>
      <c r="AW12" s="10">
        <v>0</v>
      </c>
      <c r="AX12" s="10">
        <v>0</v>
      </c>
      <c r="AY12" s="10">
        <v>0</v>
      </c>
      <c r="AZ12" s="10">
        <v>0</v>
      </c>
      <c r="BA12" s="10">
        <v>0</v>
      </c>
      <c r="BB12" s="10">
        <v>23</v>
      </c>
      <c r="BC12" s="32">
        <f>AU20</f>
        <v>43</v>
      </c>
      <c r="BD12" s="32">
        <f t="shared" si="0"/>
        <v>23</v>
      </c>
      <c r="BE12" s="25">
        <f t="shared" si="2"/>
        <v>20</v>
      </c>
      <c r="BF12" s="7" t="s">
        <v>15</v>
      </c>
      <c r="BG12" s="26">
        <f>SUMPRODUCT(J$5:J$19,AA$5:AA$19)</f>
        <v>20</v>
      </c>
      <c r="BI12" s="16"/>
    </row>
    <row r="13" spans="1:67" x14ac:dyDescent="0.35">
      <c r="A13" s="12" t="s">
        <v>7</v>
      </c>
      <c r="B13" s="20">
        <v>9</v>
      </c>
      <c r="C13" s="2">
        <v>86</v>
      </c>
      <c r="D13" s="2">
        <v>90</v>
      </c>
      <c r="E13" s="2">
        <v>65</v>
      </c>
      <c r="F13" s="2">
        <v>47</v>
      </c>
      <c r="G13" s="2">
        <v>75</v>
      </c>
      <c r="H13" s="2">
        <v>25</v>
      </c>
      <c r="I13" s="2">
        <v>25</v>
      </c>
      <c r="J13" s="2">
        <v>25</v>
      </c>
      <c r="K13" s="28">
        <v>150</v>
      </c>
      <c r="L13" s="2">
        <v>65</v>
      </c>
      <c r="M13" s="2">
        <v>70</v>
      </c>
      <c r="N13" s="2">
        <v>72</v>
      </c>
      <c r="O13" s="2">
        <v>61</v>
      </c>
      <c r="P13" s="2">
        <v>45</v>
      </c>
      <c r="Q13" s="2">
        <v>13</v>
      </c>
      <c r="S13" s="20">
        <v>9</v>
      </c>
      <c r="T13" s="6">
        <v>1</v>
      </c>
      <c r="U13" s="6">
        <v>0</v>
      </c>
      <c r="V13" s="6">
        <v>0</v>
      </c>
      <c r="W13" s="6">
        <v>0</v>
      </c>
      <c r="X13" s="6">
        <v>0</v>
      </c>
      <c r="Y13" s="6">
        <v>0</v>
      </c>
      <c r="Z13" s="6">
        <v>0</v>
      </c>
      <c r="AA13" s="6">
        <v>0</v>
      </c>
      <c r="AB13" s="14">
        <v>0</v>
      </c>
      <c r="AC13" s="6">
        <v>0</v>
      </c>
      <c r="AD13" s="6">
        <v>0</v>
      </c>
      <c r="AE13" s="6">
        <v>0</v>
      </c>
      <c r="AF13" s="6">
        <v>0</v>
      </c>
      <c r="AG13" s="6">
        <v>0</v>
      </c>
      <c r="AH13" s="6">
        <v>0</v>
      </c>
      <c r="AI13" s="13">
        <f t="shared" si="1"/>
        <v>1</v>
      </c>
      <c r="AJ13" s="7" t="s">
        <v>15</v>
      </c>
      <c r="AK13" s="5">
        <v>1</v>
      </c>
      <c r="AM13" s="20">
        <v>9</v>
      </c>
      <c r="AN13" s="6">
        <v>0</v>
      </c>
      <c r="AO13" s="10">
        <v>0</v>
      </c>
      <c r="AP13" s="10">
        <v>0</v>
      </c>
      <c r="AQ13" s="10">
        <v>0</v>
      </c>
      <c r="AR13" s="10">
        <v>0</v>
      </c>
      <c r="AS13" s="10">
        <v>0</v>
      </c>
      <c r="AT13" s="10">
        <v>0</v>
      </c>
      <c r="AU13" s="10">
        <v>0</v>
      </c>
      <c r="AV13" s="29">
        <v>0</v>
      </c>
      <c r="AW13" s="10">
        <v>0</v>
      </c>
      <c r="AX13" s="10">
        <v>0</v>
      </c>
      <c r="AY13" s="10">
        <v>0</v>
      </c>
      <c r="AZ13" s="10">
        <v>0</v>
      </c>
      <c r="BA13" s="10">
        <v>0</v>
      </c>
      <c r="BB13" s="10">
        <v>0</v>
      </c>
      <c r="BC13" s="32">
        <f>AV20</f>
        <v>13</v>
      </c>
      <c r="BD13" s="32">
        <f t="shared" si="0"/>
        <v>0</v>
      </c>
      <c r="BE13" s="25">
        <f t="shared" si="2"/>
        <v>13</v>
      </c>
      <c r="BF13" s="7" t="s">
        <v>15</v>
      </c>
      <c r="BG13" s="26">
        <f>SUMPRODUCT(K$5:K$19,AB$5:AB$19)</f>
        <v>13</v>
      </c>
      <c r="BI13" s="16" t="s">
        <v>46</v>
      </c>
    </row>
    <row r="14" spans="1:67" x14ac:dyDescent="0.35">
      <c r="A14" s="12" t="s">
        <v>8</v>
      </c>
      <c r="B14" s="20">
        <v>10</v>
      </c>
      <c r="C14" s="2">
        <v>25</v>
      </c>
      <c r="D14" s="2">
        <v>25</v>
      </c>
      <c r="E14" s="2">
        <v>10</v>
      </c>
      <c r="F14" s="2">
        <v>12</v>
      </c>
      <c r="G14" s="2">
        <v>25</v>
      </c>
      <c r="H14" s="2">
        <v>45</v>
      </c>
      <c r="I14" s="2">
        <v>41</v>
      </c>
      <c r="J14" s="2">
        <v>40</v>
      </c>
      <c r="K14" s="2">
        <v>65</v>
      </c>
      <c r="L14" s="28">
        <v>150</v>
      </c>
      <c r="M14" s="2">
        <v>20</v>
      </c>
      <c r="N14" s="2">
        <v>8</v>
      </c>
      <c r="O14" s="2">
        <v>7</v>
      </c>
      <c r="P14" s="2">
        <v>15</v>
      </c>
      <c r="Q14" s="2">
        <v>25</v>
      </c>
      <c r="S14" s="20">
        <v>10</v>
      </c>
      <c r="T14" s="6">
        <v>0</v>
      </c>
      <c r="U14" s="6">
        <v>0</v>
      </c>
      <c r="V14" s="6">
        <v>0</v>
      </c>
      <c r="W14" s="6">
        <v>0</v>
      </c>
      <c r="X14" s="6">
        <v>0</v>
      </c>
      <c r="Y14" s="6">
        <v>0</v>
      </c>
      <c r="Z14" s="6">
        <v>0</v>
      </c>
      <c r="AA14" s="6">
        <v>0</v>
      </c>
      <c r="AB14" s="6">
        <v>0</v>
      </c>
      <c r="AC14" s="14">
        <v>0</v>
      </c>
      <c r="AD14" s="6">
        <v>0</v>
      </c>
      <c r="AE14" s="6">
        <v>1</v>
      </c>
      <c r="AF14" s="6">
        <v>0</v>
      </c>
      <c r="AG14" s="6">
        <v>0</v>
      </c>
      <c r="AH14" s="6">
        <v>0</v>
      </c>
      <c r="AI14" s="13">
        <f t="shared" si="1"/>
        <v>1</v>
      </c>
      <c r="AJ14" s="7" t="s">
        <v>15</v>
      </c>
      <c r="AK14" s="5">
        <v>1</v>
      </c>
      <c r="AM14" s="20">
        <v>10</v>
      </c>
      <c r="AN14" s="6">
        <v>0</v>
      </c>
      <c r="AO14" s="10">
        <v>0</v>
      </c>
      <c r="AP14" s="10">
        <v>0</v>
      </c>
      <c r="AQ14" s="10">
        <v>0</v>
      </c>
      <c r="AR14" s="10">
        <v>0</v>
      </c>
      <c r="AS14" s="10">
        <v>0</v>
      </c>
      <c r="AT14" s="10">
        <v>0</v>
      </c>
      <c r="AU14" s="10">
        <v>0</v>
      </c>
      <c r="AV14" s="10">
        <v>0</v>
      </c>
      <c r="AW14" s="29">
        <v>0</v>
      </c>
      <c r="AX14" s="10">
        <v>0</v>
      </c>
      <c r="AY14" s="10">
        <v>54</v>
      </c>
      <c r="AZ14" s="10">
        <v>0</v>
      </c>
      <c r="BA14" s="10">
        <v>0</v>
      </c>
      <c r="BB14" s="10">
        <v>0</v>
      </c>
      <c r="BC14" s="32">
        <f>AW20</f>
        <v>64</v>
      </c>
      <c r="BD14" s="32">
        <f t="shared" si="0"/>
        <v>54</v>
      </c>
      <c r="BE14" s="25">
        <f t="shared" si="2"/>
        <v>10</v>
      </c>
      <c r="BF14" s="7" t="s">
        <v>15</v>
      </c>
      <c r="BG14" s="26">
        <f>SUMPRODUCT(L$5:L$19,AC$5:AC$19)</f>
        <v>10</v>
      </c>
    </row>
    <row r="15" spans="1:67" x14ac:dyDescent="0.35">
      <c r="A15" s="12" t="s">
        <v>9</v>
      </c>
      <c r="B15" s="20">
        <v>11</v>
      </c>
      <c r="C15" s="2">
        <v>35</v>
      </c>
      <c r="D15" s="2">
        <v>35</v>
      </c>
      <c r="E15" s="2">
        <v>25</v>
      </c>
      <c r="F15" s="2">
        <v>22</v>
      </c>
      <c r="G15" s="2">
        <v>11</v>
      </c>
      <c r="H15" s="2">
        <v>65</v>
      </c>
      <c r="I15" s="2">
        <v>25</v>
      </c>
      <c r="J15" s="2">
        <v>34</v>
      </c>
      <c r="K15" s="2">
        <v>70</v>
      </c>
      <c r="L15" s="2">
        <v>20</v>
      </c>
      <c r="M15" s="28">
        <v>150</v>
      </c>
      <c r="N15" s="2">
        <v>5</v>
      </c>
      <c r="O15" s="2">
        <v>12</v>
      </c>
      <c r="P15" s="2">
        <v>45</v>
      </c>
      <c r="Q15" s="2">
        <v>65</v>
      </c>
      <c r="S15" s="20">
        <v>11</v>
      </c>
      <c r="T15" s="6">
        <v>0</v>
      </c>
      <c r="U15" s="6">
        <v>0</v>
      </c>
      <c r="V15" s="6">
        <v>0</v>
      </c>
      <c r="W15" s="6">
        <v>0</v>
      </c>
      <c r="X15" s="6">
        <v>1</v>
      </c>
      <c r="Y15" s="6">
        <v>0</v>
      </c>
      <c r="Z15" s="6">
        <v>0</v>
      </c>
      <c r="AA15" s="6">
        <v>0</v>
      </c>
      <c r="AB15" s="6">
        <v>0</v>
      </c>
      <c r="AC15" s="6">
        <v>0</v>
      </c>
      <c r="AD15" s="14">
        <v>0</v>
      </c>
      <c r="AE15" s="6">
        <v>0</v>
      </c>
      <c r="AF15" s="6">
        <v>0</v>
      </c>
      <c r="AG15" s="6">
        <v>0</v>
      </c>
      <c r="AH15" s="6">
        <v>0</v>
      </c>
      <c r="AI15" s="13">
        <f t="shared" si="1"/>
        <v>1</v>
      </c>
      <c r="AJ15" s="7" t="s">
        <v>15</v>
      </c>
      <c r="AK15" s="5">
        <v>1</v>
      </c>
      <c r="AM15" s="20">
        <v>11</v>
      </c>
      <c r="AN15" s="6">
        <v>0</v>
      </c>
      <c r="AO15" s="10">
        <v>0</v>
      </c>
      <c r="AP15" s="10">
        <v>0</v>
      </c>
      <c r="AQ15" s="10">
        <v>0</v>
      </c>
      <c r="AR15" s="10">
        <v>41</v>
      </c>
      <c r="AS15" s="10">
        <v>0</v>
      </c>
      <c r="AT15" s="10">
        <v>0</v>
      </c>
      <c r="AU15" s="10">
        <v>0</v>
      </c>
      <c r="AV15" s="10">
        <v>0</v>
      </c>
      <c r="AW15" s="10">
        <v>0</v>
      </c>
      <c r="AX15" s="29">
        <v>0</v>
      </c>
      <c r="AY15" s="10">
        <v>0</v>
      </c>
      <c r="AZ15" s="10">
        <v>0</v>
      </c>
      <c r="BA15" s="10">
        <v>0</v>
      </c>
      <c r="BB15" s="10">
        <v>0</v>
      </c>
      <c r="BC15" s="32">
        <f>AX20</f>
        <v>46</v>
      </c>
      <c r="BD15" s="32">
        <f t="shared" si="0"/>
        <v>41</v>
      </c>
      <c r="BE15" s="25">
        <f t="shared" si="2"/>
        <v>5</v>
      </c>
      <c r="BF15" s="7" t="s">
        <v>15</v>
      </c>
      <c r="BG15" s="26">
        <f>SUMPRODUCT(M$5:M$19,AD$5:AD$19)</f>
        <v>5</v>
      </c>
    </row>
    <row r="16" spans="1:67" x14ac:dyDescent="0.35">
      <c r="A16" s="12" t="s">
        <v>10</v>
      </c>
      <c r="B16" s="20">
        <v>12</v>
      </c>
      <c r="C16" s="2">
        <v>20</v>
      </c>
      <c r="D16" s="2">
        <v>30</v>
      </c>
      <c r="E16" s="2">
        <v>15</v>
      </c>
      <c r="F16" s="2">
        <v>20</v>
      </c>
      <c r="G16" s="2">
        <v>19</v>
      </c>
      <c r="H16" s="2">
        <v>53</v>
      </c>
      <c r="I16" s="2">
        <v>33</v>
      </c>
      <c r="J16" s="2">
        <v>32</v>
      </c>
      <c r="K16" s="2">
        <v>72</v>
      </c>
      <c r="L16" s="2">
        <v>8</v>
      </c>
      <c r="M16" s="2">
        <v>5</v>
      </c>
      <c r="N16" s="28">
        <v>150</v>
      </c>
      <c r="O16" s="2">
        <v>14</v>
      </c>
      <c r="P16" s="2">
        <v>34</v>
      </c>
      <c r="Q16" s="2">
        <v>56</v>
      </c>
      <c r="S16" s="20">
        <v>12</v>
      </c>
      <c r="T16" s="6">
        <v>0</v>
      </c>
      <c r="U16" s="6">
        <v>0</v>
      </c>
      <c r="V16" s="6">
        <v>0</v>
      </c>
      <c r="W16" s="6">
        <v>0</v>
      </c>
      <c r="X16" s="6">
        <v>0</v>
      </c>
      <c r="Y16" s="6">
        <v>0</v>
      </c>
      <c r="Z16" s="6">
        <v>0</v>
      </c>
      <c r="AA16" s="6">
        <v>0</v>
      </c>
      <c r="AB16" s="6">
        <v>0</v>
      </c>
      <c r="AC16" s="6">
        <v>0</v>
      </c>
      <c r="AD16" s="6">
        <v>1</v>
      </c>
      <c r="AE16" s="14">
        <v>0</v>
      </c>
      <c r="AF16" s="6">
        <v>0</v>
      </c>
      <c r="AG16" s="6">
        <v>0</v>
      </c>
      <c r="AH16" s="6">
        <v>0</v>
      </c>
      <c r="AI16" s="13">
        <f t="shared" si="1"/>
        <v>1</v>
      </c>
      <c r="AJ16" s="7" t="s">
        <v>15</v>
      </c>
      <c r="AK16" s="5">
        <v>1</v>
      </c>
      <c r="AM16" s="20">
        <v>12</v>
      </c>
      <c r="AN16" s="6">
        <v>0</v>
      </c>
      <c r="AO16" s="10">
        <v>0</v>
      </c>
      <c r="AP16" s="10">
        <v>0</v>
      </c>
      <c r="AQ16" s="10">
        <v>0</v>
      </c>
      <c r="AR16" s="10">
        <v>0</v>
      </c>
      <c r="AS16" s="10">
        <v>0</v>
      </c>
      <c r="AT16" s="10">
        <v>0</v>
      </c>
      <c r="AU16" s="10">
        <v>0</v>
      </c>
      <c r="AV16" s="10">
        <v>0</v>
      </c>
      <c r="AW16" s="10">
        <v>0</v>
      </c>
      <c r="AX16" s="10">
        <v>46</v>
      </c>
      <c r="AY16" s="29">
        <v>0</v>
      </c>
      <c r="AZ16" s="10">
        <v>0</v>
      </c>
      <c r="BA16" s="10">
        <v>0</v>
      </c>
      <c r="BB16" s="10">
        <v>0</v>
      </c>
      <c r="BC16" s="32">
        <f>AY20</f>
        <v>54</v>
      </c>
      <c r="BD16" s="32">
        <f t="shared" si="0"/>
        <v>46</v>
      </c>
      <c r="BE16" s="25">
        <f t="shared" si="2"/>
        <v>8</v>
      </c>
      <c r="BF16" s="7" t="s">
        <v>15</v>
      </c>
      <c r="BG16" s="26">
        <f>SUMPRODUCT(N$5:N$19,AE$5:AE$19)</f>
        <v>8</v>
      </c>
    </row>
    <row r="17" spans="1:60" x14ac:dyDescent="0.35">
      <c r="A17" s="12" t="s">
        <v>11</v>
      </c>
      <c r="B17" s="20">
        <v>13</v>
      </c>
      <c r="C17" s="2">
        <v>44</v>
      </c>
      <c r="D17" s="2">
        <v>37</v>
      </c>
      <c r="E17" s="2">
        <v>24</v>
      </c>
      <c r="F17" s="2">
        <v>12</v>
      </c>
      <c r="G17" s="2">
        <v>15</v>
      </c>
      <c r="H17" s="2">
        <v>43</v>
      </c>
      <c r="I17" s="2">
        <v>27</v>
      </c>
      <c r="J17" s="2">
        <v>20</v>
      </c>
      <c r="K17" s="2">
        <v>61</v>
      </c>
      <c r="L17" s="2">
        <v>7</v>
      </c>
      <c r="M17" s="2">
        <v>12</v>
      </c>
      <c r="N17" s="2">
        <v>14</v>
      </c>
      <c r="O17" s="28">
        <v>150</v>
      </c>
      <c r="P17" s="2">
        <v>30</v>
      </c>
      <c r="Q17" s="2">
        <v>40</v>
      </c>
      <c r="S17" s="20">
        <v>13</v>
      </c>
      <c r="T17" s="6">
        <v>0</v>
      </c>
      <c r="U17" s="6">
        <v>0</v>
      </c>
      <c r="V17" s="6">
        <v>0</v>
      </c>
      <c r="W17" s="6">
        <v>0</v>
      </c>
      <c r="X17" s="6">
        <v>0</v>
      </c>
      <c r="Y17" s="6">
        <v>0</v>
      </c>
      <c r="Z17" s="6">
        <v>0</v>
      </c>
      <c r="AA17" s="6">
        <v>1</v>
      </c>
      <c r="AB17" s="6">
        <v>0</v>
      </c>
      <c r="AC17" s="6">
        <v>0</v>
      </c>
      <c r="AD17" s="6">
        <v>0</v>
      </c>
      <c r="AE17" s="6">
        <v>0</v>
      </c>
      <c r="AF17" s="14">
        <v>0</v>
      </c>
      <c r="AG17" s="6">
        <v>0</v>
      </c>
      <c r="AH17" s="6">
        <v>0</v>
      </c>
      <c r="AI17" s="13">
        <f t="shared" si="1"/>
        <v>1</v>
      </c>
      <c r="AJ17" s="7" t="s">
        <v>15</v>
      </c>
      <c r="AK17" s="5">
        <v>1</v>
      </c>
      <c r="AM17" s="20">
        <v>13</v>
      </c>
      <c r="AN17" s="6">
        <v>0</v>
      </c>
      <c r="AO17" s="10">
        <v>0</v>
      </c>
      <c r="AP17" s="10">
        <v>0</v>
      </c>
      <c r="AQ17" s="10">
        <v>0</v>
      </c>
      <c r="AR17" s="10">
        <v>0</v>
      </c>
      <c r="AS17" s="10">
        <v>0</v>
      </c>
      <c r="AT17" s="10">
        <v>0</v>
      </c>
      <c r="AU17" s="10">
        <v>43</v>
      </c>
      <c r="AV17" s="10">
        <v>0</v>
      </c>
      <c r="AW17" s="10">
        <v>0</v>
      </c>
      <c r="AX17" s="10">
        <v>0</v>
      </c>
      <c r="AY17" s="10">
        <v>0</v>
      </c>
      <c r="AZ17" s="29">
        <v>0</v>
      </c>
      <c r="BA17" s="10">
        <v>0</v>
      </c>
      <c r="BB17" s="10">
        <v>0</v>
      </c>
      <c r="BC17" s="32">
        <f>AZ20</f>
        <v>55</v>
      </c>
      <c r="BD17" s="32">
        <f t="shared" si="0"/>
        <v>43</v>
      </c>
      <c r="BE17" s="25">
        <f t="shared" si="2"/>
        <v>12</v>
      </c>
      <c r="BF17" s="7" t="s">
        <v>15</v>
      </c>
      <c r="BG17" s="26">
        <f>SUMPRODUCT(O$5:O$19,AF$5:AF$19)</f>
        <v>12</v>
      </c>
    </row>
    <row r="18" spans="1:60" x14ac:dyDescent="0.35">
      <c r="A18" s="12" t="s">
        <v>12</v>
      </c>
      <c r="B18" s="20">
        <v>14</v>
      </c>
      <c r="C18" s="2">
        <v>35</v>
      </c>
      <c r="D18" s="2">
        <v>20</v>
      </c>
      <c r="E18" s="2">
        <v>20</v>
      </c>
      <c r="F18" s="2">
        <v>10</v>
      </c>
      <c r="G18" s="2">
        <v>25</v>
      </c>
      <c r="H18" s="2">
        <v>63</v>
      </c>
      <c r="I18" s="2">
        <v>45</v>
      </c>
      <c r="J18" s="2">
        <v>30</v>
      </c>
      <c r="K18" s="2">
        <v>45</v>
      </c>
      <c r="L18" s="2">
        <v>15</v>
      </c>
      <c r="M18" s="2">
        <v>45</v>
      </c>
      <c r="N18" s="2">
        <v>34</v>
      </c>
      <c r="O18" s="2">
        <v>30</v>
      </c>
      <c r="P18" s="28">
        <v>150</v>
      </c>
      <c r="Q18" s="2">
        <v>27</v>
      </c>
      <c r="S18" s="20">
        <v>14</v>
      </c>
      <c r="T18" s="6">
        <v>0</v>
      </c>
      <c r="U18" s="6">
        <v>0</v>
      </c>
      <c r="V18" s="6">
        <v>0</v>
      </c>
      <c r="W18" s="6">
        <v>1</v>
      </c>
      <c r="X18" s="6">
        <v>0</v>
      </c>
      <c r="Y18" s="6">
        <v>0</v>
      </c>
      <c r="Z18" s="6">
        <v>0</v>
      </c>
      <c r="AA18" s="6">
        <v>0</v>
      </c>
      <c r="AB18" s="6">
        <v>0</v>
      </c>
      <c r="AC18" s="6">
        <v>0</v>
      </c>
      <c r="AD18" s="6">
        <v>0</v>
      </c>
      <c r="AE18" s="6">
        <v>0</v>
      </c>
      <c r="AF18" s="6">
        <v>0</v>
      </c>
      <c r="AG18" s="14">
        <v>0</v>
      </c>
      <c r="AH18" s="6">
        <v>0</v>
      </c>
      <c r="AI18" s="13">
        <f t="shared" si="1"/>
        <v>1</v>
      </c>
      <c r="AJ18" s="7" t="s">
        <v>15</v>
      </c>
      <c r="AK18" s="5">
        <v>1</v>
      </c>
      <c r="AM18" s="20">
        <v>14</v>
      </c>
      <c r="AN18" s="6">
        <v>0</v>
      </c>
      <c r="AO18" s="10">
        <v>0</v>
      </c>
      <c r="AP18" s="10">
        <v>0</v>
      </c>
      <c r="AQ18" s="10">
        <v>65</v>
      </c>
      <c r="AR18" s="10">
        <v>0</v>
      </c>
      <c r="AS18" s="10">
        <v>0</v>
      </c>
      <c r="AT18" s="10">
        <v>0</v>
      </c>
      <c r="AU18" s="10">
        <v>0</v>
      </c>
      <c r="AV18" s="10">
        <v>0</v>
      </c>
      <c r="AW18" s="10">
        <v>0</v>
      </c>
      <c r="AX18" s="10">
        <v>0</v>
      </c>
      <c r="AY18" s="10">
        <v>0</v>
      </c>
      <c r="AZ18" s="10">
        <v>0</v>
      </c>
      <c r="BA18" s="29">
        <v>0</v>
      </c>
      <c r="BB18" s="10">
        <v>0</v>
      </c>
      <c r="BC18" s="32">
        <f>BA20</f>
        <v>100</v>
      </c>
      <c r="BD18" s="32">
        <f t="shared" si="0"/>
        <v>65</v>
      </c>
      <c r="BE18" s="25">
        <f t="shared" si="2"/>
        <v>35</v>
      </c>
      <c r="BF18" s="7" t="s">
        <v>15</v>
      </c>
      <c r="BG18" s="26">
        <f>SUMPRODUCT(P$5:P$19,AG$5:AG$19)</f>
        <v>35</v>
      </c>
    </row>
    <row r="19" spans="1:60" x14ac:dyDescent="0.35">
      <c r="A19" s="12" t="s">
        <v>13</v>
      </c>
      <c r="B19" s="20">
        <v>15</v>
      </c>
      <c r="C19" s="2">
        <v>82</v>
      </c>
      <c r="D19" s="2">
        <v>40</v>
      </c>
      <c r="E19" s="2">
        <v>90</v>
      </c>
      <c r="F19" s="2">
        <v>21</v>
      </c>
      <c r="G19" s="2">
        <v>25</v>
      </c>
      <c r="H19" s="2">
        <v>70</v>
      </c>
      <c r="I19" s="2">
        <v>30</v>
      </c>
      <c r="J19" s="2">
        <v>10</v>
      </c>
      <c r="K19" s="2">
        <v>13</v>
      </c>
      <c r="L19" s="2">
        <v>25</v>
      </c>
      <c r="M19" s="2">
        <v>65</v>
      </c>
      <c r="N19" s="2">
        <v>56</v>
      </c>
      <c r="O19" s="2">
        <v>40</v>
      </c>
      <c r="P19" s="2">
        <v>27</v>
      </c>
      <c r="Q19" s="28">
        <v>150</v>
      </c>
      <c r="S19" s="20">
        <v>15</v>
      </c>
      <c r="T19" s="6">
        <v>0</v>
      </c>
      <c r="U19" s="6">
        <v>0</v>
      </c>
      <c r="V19" s="6">
        <v>0</v>
      </c>
      <c r="W19" s="6">
        <v>0</v>
      </c>
      <c r="X19" s="6">
        <v>0</v>
      </c>
      <c r="Y19" s="6">
        <v>0</v>
      </c>
      <c r="Z19" s="6">
        <v>0</v>
      </c>
      <c r="AA19" s="6">
        <v>0</v>
      </c>
      <c r="AB19" s="6">
        <v>1</v>
      </c>
      <c r="AC19" s="6">
        <v>0</v>
      </c>
      <c r="AD19" s="6">
        <v>0</v>
      </c>
      <c r="AE19" s="6">
        <v>0</v>
      </c>
      <c r="AF19" s="6">
        <v>0</v>
      </c>
      <c r="AG19" s="6">
        <v>0</v>
      </c>
      <c r="AH19" s="14">
        <v>0</v>
      </c>
      <c r="AI19" s="13">
        <f t="shared" si="1"/>
        <v>1</v>
      </c>
      <c r="AJ19" s="7" t="s">
        <v>15</v>
      </c>
      <c r="AK19" s="5">
        <v>1</v>
      </c>
      <c r="AM19" s="20">
        <v>15</v>
      </c>
      <c r="AN19" s="6">
        <v>0</v>
      </c>
      <c r="AO19" s="10">
        <v>0</v>
      </c>
      <c r="AP19" s="10">
        <v>0</v>
      </c>
      <c r="AQ19" s="10">
        <v>0</v>
      </c>
      <c r="AR19" s="10">
        <v>0</v>
      </c>
      <c r="AS19" s="10">
        <v>0</v>
      </c>
      <c r="AT19" s="10">
        <v>0</v>
      </c>
      <c r="AU19" s="10">
        <v>0</v>
      </c>
      <c r="AV19" s="10">
        <v>13</v>
      </c>
      <c r="AW19" s="10">
        <v>0</v>
      </c>
      <c r="AX19" s="10">
        <v>0</v>
      </c>
      <c r="AY19" s="10">
        <v>0</v>
      </c>
      <c r="AZ19" s="10">
        <v>0</v>
      </c>
      <c r="BA19" s="10">
        <v>0</v>
      </c>
      <c r="BB19" s="29">
        <v>0</v>
      </c>
      <c r="BC19" s="32">
        <f>BB20</f>
        <v>23</v>
      </c>
      <c r="BD19" s="32">
        <f t="shared" si="0"/>
        <v>13</v>
      </c>
      <c r="BE19" s="25">
        <f t="shared" si="2"/>
        <v>10</v>
      </c>
      <c r="BF19" s="7" t="s">
        <v>15</v>
      </c>
      <c r="BG19" s="26">
        <f>SUMPRODUCT(Q$5:Q$19,AH$5:AH$19)</f>
        <v>10</v>
      </c>
    </row>
    <row r="20" spans="1:60" ht="14.5" customHeight="1" x14ac:dyDescent="0.35">
      <c r="B20" s="16"/>
      <c r="T20" s="23">
        <f t="shared" ref="T20:AH20" si="3">SUM(T5:T19)</f>
        <v>2</v>
      </c>
      <c r="U20" s="23">
        <f t="shared" si="3"/>
        <v>1</v>
      </c>
      <c r="V20" s="23">
        <f t="shared" si="3"/>
        <v>1</v>
      </c>
      <c r="W20" s="23">
        <f t="shared" si="3"/>
        <v>1</v>
      </c>
      <c r="X20" s="23">
        <f t="shared" si="3"/>
        <v>1</v>
      </c>
      <c r="Y20" s="23">
        <f t="shared" si="3"/>
        <v>1</v>
      </c>
      <c r="Z20" s="23">
        <f t="shared" si="3"/>
        <v>1</v>
      </c>
      <c r="AA20" s="23">
        <f t="shared" si="3"/>
        <v>1</v>
      </c>
      <c r="AB20" s="23">
        <f t="shared" si="3"/>
        <v>1</v>
      </c>
      <c r="AC20" s="23">
        <f t="shared" si="3"/>
        <v>1</v>
      </c>
      <c r="AD20" s="23">
        <f t="shared" si="3"/>
        <v>1</v>
      </c>
      <c r="AE20" s="23">
        <f t="shared" si="3"/>
        <v>1</v>
      </c>
      <c r="AF20" s="23">
        <f t="shared" si="3"/>
        <v>1</v>
      </c>
      <c r="AG20" s="23">
        <f t="shared" si="3"/>
        <v>1</v>
      </c>
      <c r="AH20" s="23">
        <f t="shared" si="3"/>
        <v>1</v>
      </c>
      <c r="AI20" s="40" t="s">
        <v>31</v>
      </c>
      <c r="AJ20" s="40"/>
      <c r="AK20" s="40"/>
      <c r="AN20" s="32">
        <f>SUM(AN5:AN19)</f>
        <v>0</v>
      </c>
      <c r="AO20" s="32">
        <f>SUM(AO5:AO19)</f>
        <v>99</v>
      </c>
      <c r="AP20" s="32">
        <f>SUM(AP5:AP19)</f>
        <v>79</v>
      </c>
      <c r="AQ20" s="32">
        <f>SUM(AQ5:AQ19)</f>
        <v>65</v>
      </c>
      <c r="AR20" s="32">
        <f t="shared" ref="AR20:BB20" si="4">SUM(AR5:AR19)</f>
        <v>41</v>
      </c>
      <c r="AS20" s="32">
        <f t="shared" si="4"/>
        <v>15</v>
      </c>
      <c r="AT20" s="32">
        <f t="shared" si="4"/>
        <v>30</v>
      </c>
      <c r="AU20" s="32">
        <f t="shared" si="4"/>
        <v>43</v>
      </c>
      <c r="AV20" s="32">
        <f t="shared" si="4"/>
        <v>13</v>
      </c>
      <c r="AW20" s="32">
        <f t="shared" si="4"/>
        <v>64</v>
      </c>
      <c r="AX20" s="32">
        <f t="shared" si="4"/>
        <v>46</v>
      </c>
      <c r="AY20" s="32">
        <f t="shared" si="4"/>
        <v>54</v>
      </c>
      <c r="AZ20" s="32">
        <f t="shared" si="4"/>
        <v>55</v>
      </c>
      <c r="BA20" s="32">
        <f t="shared" si="4"/>
        <v>100</v>
      </c>
      <c r="BB20" s="32">
        <f t="shared" si="4"/>
        <v>23</v>
      </c>
      <c r="BC20" s="16"/>
    </row>
    <row r="21" spans="1:60" x14ac:dyDescent="0.35">
      <c r="C21" s="17"/>
      <c r="U21" s="4" t="s">
        <v>15</v>
      </c>
      <c r="V21" s="4" t="s">
        <v>15</v>
      </c>
      <c r="W21" s="4" t="s">
        <v>15</v>
      </c>
      <c r="X21" s="4" t="s">
        <v>15</v>
      </c>
      <c r="Y21" s="4" t="s">
        <v>15</v>
      </c>
      <c r="Z21" s="4" t="s">
        <v>15</v>
      </c>
      <c r="AA21" s="4" t="s">
        <v>15</v>
      </c>
      <c r="AB21" s="4" t="s">
        <v>15</v>
      </c>
      <c r="AC21" s="4" t="s">
        <v>15</v>
      </c>
      <c r="AD21" s="4" t="s">
        <v>15</v>
      </c>
      <c r="AE21" s="4" t="s">
        <v>15</v>
      </c>
      <c r="AF21" s="4" t="s">
        <v>15</v>
      </c>
      <c r="AG21" s="4" t="s">
        <v>15</v>
      </c>
      <c r="AH21" s="4" t="s">
        <v>15</v>
      </c>
      <c r="AI21" s="40"/>
      <c r="AJ21" s="40"/>
      <c r="AK21" s="40"/>
      <c r="AM21" s="16"/>
    </row>
    <row r="22" spans="1:60" x14ac:dyDescent="0.35">
      <c r="U22" s="2">
        <v>1</v>
      </c>
      <c r="V22" s="2">
        <v>1</v>
      </c>
      <c r="W22" s="2">
        <v>1</v>
      </c>
      <c r="X22" s="2">
        <v>1</v>
      </c>
      <c r="Y22" s="2">
        <v>1</v>
      </c>
      <c r="Z22" s="2">
        <v>1</v>
      </c>
      <c r="AA22" s="2">
        <v>1</v>
      </c>
      <c r="AB22" s="2">
        <v>1</v>
      </c>
      <c r="AC22" s="2">
        <v>1</v>
      </c>
      <c r="AD22" s="2">
        <v>1</v>
      </c>
      <c r="AE22" s="2">
        <v>1</v>
      </c>
      <c r="AF22" s="2">
        <v>1</v>
      </c>
      <c r="AG22" s="2">
        <v>1</v>
      </c>
      <c r="AH22" s="2">
        <v>1</v>
      </c>
      <c r="AI22" s="40"/>
      <c r="AJ22" s="40"/>
      <c r="AK22" s="40"/>
    </row>
    <row r="23" spans="1:60" ht="15" thickBot="1" x14ac:dyDescent="0.4">
      <c r="AM23" s="39" t="s">
        <v>37</v>
      </c>
      <c r="AN23" s="39"/>
      <c r="AO23" s="39"/>
      <c r="AP23" s="39"/>
      <c r="AQ23" s="39"/>
      <c r="AR23" s="39"/>
      <c r="AS23" s="39"/>
      <c r="AT23" s="39"/>
      <c r="AU23" s="39"/>
      <c r="AV23" s="39"/>
      <c r="AW23" s="39"/>
      <c r="AX23" s="39"/>
      <c r="AY23" s="39"/>
      <c r="AZ23" s="39"/>
      <c r="BA23" s="39"/>
      <c r="BB23" s="39"/>
      <c r="BC23" s="39"/>
      <c r="BD23" s="39"/>
      <c r="BE23" s="39"/>
      <c r="BF23" s="39"/>
    </row>
    <row r="24" spans="1:60" ht="15.5" thickTop="1" thickBot="1" x14ac:dyDescent="0.4">
      <c r="S24" s="39" t="s">
        <v>40</v>
      </c>
      <c r="T24" s="39"/>
      <c r="U24" s="39"/>
      <c r="V24" s="39"/>
      <c r="W24" s="39"/>
      <c r="X24" s="39"/>
      <c r="Y24" s="39"/>
      <c r="Z24" s="39"/>
      <c r="AA24" s="39"/>
      <c r="AB24" s="39"/>
      <c r="AC24" s="39"/>
      <c r="AD24" s="39"/>
      <c r="AE24" s="39"/>
      <c r="AF24" s="39"/>
      <c r="AG24" s="39"/>
      <c r="AH24" s="39"/>
      <c r="AI24" s="31"/>
      <c r="AN24" s="1">
        <v>1</v>
      </c>
      <c r="AO24" s="1">
        <v>2</v>
      </c>
      <c r="AP24" s="1">
        <v>3</v>
      </c>
      <c r="AQ24" s="1">
        <v>4</v>
      </c>
      <c r="AR24" s="1">
        <v>5</v>
      </c>
      <c r="AS24" s="1">
        <v>6</v>
      </c>
      <c r="AT24" s="1">
        <v>7</v>
      </c>
      <c r="AU24" s="1">
        <v>8</v>
      </c>
      <c r="AV24" s="1">
        <v>9</v>
      </c>
      <c r="AW24" s="1">
        <v>10</v>
      </c>
      <c r="AX24" s="1">
        <v>11</v>
      </c>
      <c r="AY24" s="1">
        <v>12</v>
      </c>
      <c r="AZ24" s="1">
        <v>13</v>
      </c>
      <c r="BA24" s="1">
        <v>14</v>
      </c>
      <c r="BB24" s="1">
        <v>15</v>
      </c>
      <c r="BH24" s="3"/>
    </row>
    <row r="25" spans="1:60" ht="15" thickTop="1" x14ac:dyDescent="0.35">
      <c r="S25" s="8"/>
      <c r="T25" s="3" t="s">
        <v>38</v>
      </c>
      <c r="U25" s="3">
        <v>1</v>
      </c>
      <c r="V25" s="3">
        <v>2</v>
      </c>
      <c r="W25" s="3">
        <v>3</v>
      </c>
      <c r="X25" s="3">
        <v>4</v>
      </c>
      <c r="Y25" s="3">
        <v>5</v>
      </c>
      <c r="Z25" s="3">
        <v>6</v>
      </c>
      <c r="AA25" s="3">
        <v>7</v>
      </c>
      <c r="AB25" s="3">
        <v>8</v>
      </c>
      <c r="AC25" s="3">
        <v>9</v>
      </c>
      <c r="AD25" s="3">
        <v>10</v>
      </c>
      <c r="AE25" s="3">
        <v>11</v>
      </c>
      <c r="AF25" s="3">
        <v>12</v>
      </c>
      <c r="AG25" s="3">
        <v>13</v>
      </c>
      <c r="AH25" s="3">
        <v>14</v>
      </c>
      <c r="AI25" s="3"/>
      <c r="AM25" s="20">
        <v>1</v>
      </c>
      <c r="AN25" s="14">
        <f t="shared" ref="AN25:AN39" si="5">$BF$25*T5</f>
        <v>0</v>
      </c>
      <c r="AO25" s="27">
        <f>$BF$25*U5</f>
        <v>120</v>
      </c>
      <c r="AP25" s="27">
        <f t="shared" ref="AP25:AP39" si="6">$BF$25*V5</f>
        <v>0</v>
      </c>
      <c r="AQ25" s="27">
        <f t="shared" ref="AQ25:AQ39" si="7">$BF$25*W5</f>
        <v>0</v>
      </c>
      <c r="AR25" s="27">
        <f t="shared" ref="AR25:AR39" si="8">$BF$25*X5</f>
        <v>0</v>
      </c>
      <c r="AS25" s="27">
        <f t="shared" ref="AS25:AS39" si="9">$BF$25*Y5</f>
        <v>0</v>
      </c>
      <c r="AT25" s="27">
        <f t="shared" ref="AT25:AT39" si="10">$BF$25*Z5</f>
        <v>0</v>
      </c>
      <c r="AU25" s="27">
        <f t="shared" ref="AU25:AU39" si="11">$BF$25*AA5</f>
        <v>0</v>
      </c>
      <c r="AV25" s="27">
        <f t="shared" ref="AV25:AV39" si="12">$BF$25*AB5</f>
        <v>0</v>
      </c>
      <c r="AW25" s="27">
        <f t="shared" ref="AW25:AW39" si="13">$BF$25*AC5</f>
        <v>0</v>
      </c>
      <c r="AX25" s="27">
        <f t="shared" ref="AX25:AX39" si="14">$BF$25*AD5</f>
        <v>0</v>
      </c>
      <c r="AY25" s="27">
        <f t="shared" ref="AY25:AY39" si="15">$BF$25*AE5</f>
        <v>0</v>
      </c>
      <c r="AZ25" s="27">
        <f t="shared" ref="AZ25:AZ39" si="16">$BF$25*AF5</f>
        <v>0</v>
      </c>
      <c r="BA25" s="27">
        <f t="shared" ref="BA25:BA39" si="17">$BF$25*AG5</f>
        <v>120</v>
      </c>
      <c r="BB25" s="27">
        <f t="shared" ref="BB25:BB39" si="18">$BF$25*AH5</f>
        <v>0</v>
      </c>
      <c r="BE25" s="24" t="s">
        <v>34</v>
      </c>
      <c r="BF25">
        <v>120</v>
      </c>
      <c r="BG25" s="21"/>
    </row>
    <row r="26" spans="1:60" x14ac:dyDescent="0.35">
      <c r="A26" s="12"/>
      <c r="S26" s="3" t="s">
        <v>22</v>
      </c>
      <c r="T26" s="8">
        <v>1</v>
      </c>
      <c r="U26" s="8">
        <v>2</v>
      </c>
      <c r="V26" s="8">
        <f>IF(U26=1, "End", MATCH(1, INDEX($T$5:$AI$19, U26, 0), 0))</f>
        <v>3</v>
      </c>
      <c r="W26" s="8">
        <f>IF(V26=1, "End", MATCH(1, INDEX($T$5:$AI$19, V26, 0), 0))</f>
        <v>10</v>
      </c>
      <c r="X26" s="8">
        <f>IF(W26=1, "End", MATCH(1, INDEX($T$5:$AI$19, W26, 0), 0))</f>
        <v>12</v>
      </c>
      <c r="Y26" s="8">
        <f t="shared" ref="W26:AD27" si="19">IF(X26=1, "End", MATCH(1, INDEX($T$5:$AI$19, X26, 0), 0))</f>
        <v>11</v>
      </c>
      <c r="Z26" s="8">
        <f t="shared" si="19"/>
        <v>5</v>
      </c>
      <c r="AA26" s="8">
        <f t="shared" si="19"/>
        <v>7</v>
      </c>
      <c r="AB26" s="8">
        <f t="shared" si="19"/>
        <v>6</v>
      </c>
      <c r="AC26" s="8">
        <f t="shared" si="19"/>
        <v>1</v>
      </c>
      <c r="AD26" s="8" t="str">
        <f t="shared" si="19"/>
        <v>End</v>
      </c>
      <c r="AE26" s="8" t="e">
        <f>IF(AD26=1, "End", MATCH(1, INDEX($T$5:$AI$19, AD26, 0), 0))</f>
        <v>#VALUE!</v>
      </c>
      <c r="AF26" s="8" t="e">
        <f t="shared" ref="AF26:AH26" si="20">IF(AE26=1, "End", MATCH(1, INDEX($T$5:$AI$19, AE26, 0), 0))</f>
        <v>#VALUE!</v>
      </c>
      <c r="AG26" s="8" t="e">
        <f t="shared" si="20"/>
        <v>#VALUE!</v>
      </c>
      <c r="AH26" s="8" t="e">
        <f t="shared" si="20"/>
        <v>#VALUE!</v>
      </c>
      <c r="AI26" s="8"/>
      <c r="AM26" s="20">
        <v>2</v>
      </c>
      <c r="AN26" s="27">
        <f t="shared" si="5"/>
        <v>0</v>
      </c>
      <c r="AO26" s="14">
        <f t="shared" ref="AO26:AO39" si="21">$BF$25*U6</f>
        <v>0</v>
      </c>
      <c r="AP26" s="27">
        <f t="shared" si="6"/>
        <v>120</v>
      </c>
      <c r="AQ26" s="27">
        <f t="shared" si="7"/>
        <v>0</v>
      </c>
      <c r="AR26" s="27">
        <f t="shared" si="8"/>
        <v>0</v>
      </c>
      <c r="AS26" s="27">
        <f t="shared" si="9"/>
        <v>0</v>
      </c>
      <c r="AT26" s="27">
        <f t="shared" si="10"/>
        <v>0</v>
      </c>
      <c r="AU26" s="27">
        <f t="shared" si="11"/>
        <v>0</v>
      </c>
      <c r="AV26" s="27">
        <f t="shared" si="12"/>
        <v>0</v>
      </c>
      <c r="AW26" s="27">
        <f t="shared" si="13"/>
        <v>0</v>
      </c>
      <c r="AX26" s="27">
        <f t="shared" si="14"/>
        <v>0</v>
      </c>
      <c r="AY26" s="27">
        <f t="shared" si="15"/>
        <v>0</v>
      </c>
      <c r="AZ26" s="27">
        <f t="shared" si="16"/>
        <v>0</v>
      </c>
      <c r="BA26" s="27">
        <f t="shared" si="17"/>
        <v>0</v>
      </c>
      <c r="BB26" s="27">
        <f t="shared" si="18"/>
        <v>0</v>
      </c>
      <c r="BF26" s="22"/>
      <c r="BG26" s="21"/>
      <c r="BH26" s="9"/>
    </row>
    <row r="27" spans="1:60" x14ac:dyDescent="0.35">
      <c r="A27" s="12"/>
      <c r="S27" s="3" t="s">
        <v>23</v>
      </c>
      <c r="T27" s="8">
        <v>1</v>
      </c>
      <c r="U27" s="8">
        <v>14</v>
      </c>
      <c r="V27" s="8">
        <f>IF(U27=1, "End", MATCH(1, INDEX($T$5:$AI$19, U27, 0), 0))</f>
        <v>4</v>
      </c>
      <c r="W27" s="8">
        <f t="shared" si="19"/>
        <v>13</v>
      </c>
      <c r="X27" s="8">
        <f t="shared" si="19"/>
        <v>8</v>
      </c>
      <c r="Y27" s="8">
        <f t="shared" si="19"/>
        <v>15</v>
      </c>
      <c r="Z27" s="8">
        <f t="shared" si="19"/>
        <v>9</v>
      </c>
      <c r="AA27" s="8">
        <f t="shared" si="19"/>
        <v>1</v>
      </c>
      <c r="AB27" s="8" t="str">
        <f t="shared" si="19"/>
        <v>End</v>
      </c>
      <c r="AC27" s="8" t="e">
        <f t="shared" si="19"/>
        <v>#VALUE!</v>
      </c>
      <c r="AD27" s="8" t="e">
        <f t="shared" si="19"/>
        <v>#VALUE!</v>
      </c>
      <c r="AE27" s="8" t="e">
        <f>IF(AD27=1, "End", MATCH(1, INDEX($T$5:$AI$19, AD27, 0), 0))</f>
        <v>#VALUE!</v>
      </c>
      <c r="AF27" s="8" t="e">
        <f t="shared" ref="AF27:AH27" si="22">IF(AE27=1, "End", MATCH(1, INDEX($T$5:$AI$19, AE27, 0), 0))</f>
        <v>#VALUE!</v>
      </c>
      <c r="AG27" s="8" t="e">
        <f t="shared" si="22"/>
        <v>#VALUE!</v>
      </c>
      <c r="AH27" s="8" t="e">
        <f t="shared" si="22"/>
        <v>#VALUE!</v>
      </c>
      <c r="AI27" s="8"/>
      <c r="AM27" s="20">
        <v>3</v>
      </c>
      <c r="AN27" s="27">
        <f t="shared" si="5"/>
        <v>0</v>
      </c>
      <c r="AO27" s="27">
        <f t="shared" si="21"/>
        <v>0</v>
      </c>
      <c r="AP27" s="14">
        <f t="shared" si="6"/>
        <v>0</v>
      </c>
      <c r="AQ27" s="27">
        <f t="shared" si="7"/>
        <v>0</v>
      </c>
      <c r="AR27" s="27">
        <f t="shared" si="8"/>
        <v>0</v>
      </c>
      <c r="AS27" s="27">
        <f t="shared" si="9"/>
        <v>0</v>
      </c>
      <c r="AT27" s="27">
        <f t="shared" si="10"/>
        <v>0</v>
      </c>
      <c r="AU27" s="27">
        <f t="shared" si="11"/>
        <v>0</v>
      </c>
      <c r="AV27" s="27">
        <f t="shared" si="12"/>
        <v>0</v>
      </c>
      <c r="AW27" s="27">
        <f t="shared" si="13"/>
        <v>120</v>
      </c>
      <c r="AX27" s="27">
        <f t="shared" si="14"/>
        <v>0</v>
      </c>
      <c r="AY27" s="27">
        <f t="shared" si="15"/>
        <v>0</v>
      </c>
      <c r="AZ27" s="27">
        <f t="shared" si="16"/>
        <v>0</v>
      </c>
      <c r="BA27" s="27">
        <f t="shared" si="17"/>
        <v>0</v>
      </c>
      <c r="BB27" s="27">
        <f t="shared" si="18"/>
        <v>0</v>
      </c>
      <c r="BF27" s="22"/>
      <c r="BG27" s="21"/>
      <c r="BH27" s="26"/>
    </row>
    <row r="28" spans="1:60" x14ac:dyDescent="0.35">
      <c r="A28" s="12"/>
      <c r="S28" s="3" t="s">
        <v>42</v>
      </c>
      <c r="T28" s="8">
        <v>1</v>
      </c>
      <c r="U28" s="8">
        <v>1</v>
      </c>
      <c r="V28" s="8" t="str">
        <f t="shared" ref="V28:AD28" si="23">IF(U28=1, "End", MATCH(1, INDEX($T$5:$AI$19, U28, 0), 0))</f>
        <v>End</v>
      </c>
      <c r="W28" s="8" t="e">
        <f t="shared" si="23"/>
        <v>#VALUE!</v>
      </c>
      <c r="X28" s="8" t="e">
        <f t="shared" si="23"/>
        <v>#VALUE!</v>
      </c>
      <c r="Y28" s="8" t="e">
        <f t="shared" si="23"/>
        <v>#VALUE!</v>
      </c>
      <c r="Z28" s="8" t="e">
        <f t="shared" si="23"/>
        <v>#VALUE!</v>
      </c>
      <c r="AA28" s="8" t="e">
        <f t="shared" si="23"/>
        <v>#VALUE!</v>
      </c>
      <c r="AB28" s="8" t="e">
        <f t="shared" si="23"/>
        <v>#VALUE!</v>
      </c>
      <c r="AC28" s="8" t="e">
        <f t="shared" si="23"/>
        <v>#VALUE!</v>
      </c>
      <c r="AD28" s="8" t="e">
        <f t="shared" si="23"/>
        <v>#VALUE!</v>
      </c>
      <c r="AE28" s="8" t="e">
        <f t="shared" ref="AE28:AH28" si="24">IF(AD28=1, "End", MATCH(1, INDEX($T$5:$AI$19, AD28, 0), 0))</f>
        <v>#VALUE!</v>
      </c>
      <c r="AF28" s="8" t="e">
        <f t="shared" si="24"/>
        <v>#VALUE!</v>
      </c>
      <c r="AG28" s="8" t="e">
        <f t="shared" si="24"/>
        <v>#VALUE!</v>
      </c>
      <c r="AH28" s="8" t="e">
        <f t="shared" si="24"/>
        <v>#VALUE!</v>
      </c>
      <c r="AI28" s="8"/>
      <c r="AM28" s="20">
        <v>4</v>
      </c>
      <c r="AN28" s="27">
        <f t="shared" si="5"/>
        <v>0</v>
      </c>
      <c r="AO28" s="27">
        <f t="shared" si="21"/>
        <v>0</v>
      </c>
      <c r="AP28" s="27">
        <f t="shared" si="6"/>
        <v>0</v>
      </c>
      <c r="AQ28" s="14">
        <f t="shared" si="7"/>
        <v>0</v>
      </c>
      <c r="AR28" s="27">
        <f t="shared" si="8"/>
        <v>0</v>
      </c>
      <c r="AS28" s="27">
        <f t="shared" si="9"/>
        <v>0</v>
      </c>
      <c r="AT28" s="27">
        <f t="shared" si="10"/>
        <v>0</v>
      </c>
      <c r="AU28" s="27">
        <f t="shared" si="11"/>
        <v>0</v>
      </c>
      <c r="AV28" s="27">
        <f t="shared" si="12"/>
        <v>0</v>
      </c>
      <c r="AW28" s="27">
        <f t="shared" si="13"/>
        <v>0</v>
      </c>
      <c r="AX28" s="27">
        <f t="shared" si="14"/>
        <v>0</v>
      </c>
      <c r="AY28" s="27">
        <f t="shared" si="15"/>
        <v>0</v>
      </c>
      <c r="AZ28" s="27">
        <f t="shared" si="16"/>
        <v>120</v>
      </c>
      <c r="BA28" s="27">
        <f t="shared" si="17"/>
        <v>0</v>
      </c>
      <c r="BB28" s="27">
        <f t="shared" si="18"/>
        <v>0</v>
      </c>
      <c r="BF28" s="22"/>
      <c r="BG28" s="21"/>
      <c r="BH28" s="26"/>
    </row>
    <row r="29" spans="1:60" x14ac:dyDescent="0.35">
      <c r="A29" s="12"/>
      <c r="S29" s="3" t="s">
        <v>43</v>
      </c>
      <c r="T29" s="8">
        <v>1</v>
      </c>
      <c r="U29" s="8">
        <v>1</v>
      </c>
      <c r="V29" s="8" t="str">
        <f t="shared" ref="V29:AD29" si="25">IF(U29=1, "End", MATCH(1, INDEX($T$5:$AI$19, U29, 0), 0))</f>
        <v>End</v>
      </c>
      <c r="W29" s="8" t="e">
        <f t="shared" si="25"/>
        <v>#VALUE!</v>
      </c>
      <c r="X29" s="8" t="e">
        <f t="shared" si="25"/>
        <v>#VALUE!</v>
      </c>
      <c r="Y29" s="8" t="e">
        <f t="shared" si="25"/>
        <v>#VALUE!</v>
      </c>
      <c r="Z29" s="8" t="e">
        <f t="shared" si="25"/>
        <v>#VALUE!</v>
      </c>
      <c r="AA29" s="8" t="e">
        <f t="shared" si="25"/>
        <v>#VALUE!</v>
      </c>
      <c r="AB29" s="8" t="e">
        <f t="shared" si="25"/>
        <v>#VALUE!</v>
      </c>
      <c r="AC29" s="8" t="e">
        <f t="shared" si="25"/>
        <v>#VALUE!</v>
      </c>
      <c r="AD29" s="8" t="e">
        <f t="shared" si="25"/>
        <v>#VALUE!</v>
      </c>
      <c r="AE29" s="8" t="e">
        <f t="shared" ref="AE29:AH29" si="26">IF(AD29=1, "End", MATCH(1, INDEX($T$5:$AI$19, AD29, 0), 0))</f>
        <v>#VALUE!</v>
      </c>
      <c r="AF29" s="8" t="e">
        <f t="shared" si="26"/>
        <v>#VALUE!</v>
      </c>
      <c r="AG29" s="8" t="e">
        <f t="shared" si="26"/>
        <v>#VALUE!</v>
      </c>
      <c r="AH29" s="8" t="e">
        <f t="shared" si="26"/>
        <v>#VALUE!</v>
      </c>
      <c r="AI29" s="8"/>
      <c r="AM29" s="20">
        <v>5</v>
      </c>
      <c r="AN29" s="27">
        <f t="shared" si="5"/>
        <v>0</v>
      </c>
      <c r="AO29" s="27">
        <f t="shared" si="21"/>
        <v>0</v>
      </c>
      <c r="AP29" s="27">
        <f t="shared" si="6"/>
        <v>0</v>
      </c>
      <c r="AQ29" s="27">
        <f t="shared" si="7"/>
        <v>0</v>
      </c>
      <c r="AR29" s="14">
        <f t="shared" si="8"/>
        <v>0</v>
      </c>
      <c r="AS29" s="27">
        <f t="shared" si="9"/>
        <v>0</v>
      </c>
      <c r="AT29" s="27">
        <f t="shared" si="10"/>
        <v>120</v>
      </c>
      <c r="AU29" s="27">
        <f t="shared" si="11"/>
        <v>0</v>
      </c>
      <c r="AV29" s="27">
        <f t="shared" si="12"/>
        <v>0</v>
      </c>
      <c r="AW29" s="27">
        <f t="shared" si="13"/>
        <v>0</v>
      </c>
      <c r="AX29" s="27">
        <f t="shared" si="14"/>
        <v>0</v>
      </c>
      <c r="AY29" s="27">
        <f t="shared" si="15"/>
        <v>0</v>
      </c>
      <c r="AZ29" s="27">
        <f t="shared" si="16"/>
        <v>0</v>
      </c>
      <c r="BA29" s="27">
        <f t="shared" si="17"/>
        <v>0</v>
      </c>
      <c r="BB29" s="27">
        <f t="shared" si="18"/>
        <v>0</v>
      </c>
      <c r="BF29" s="22"/>
      <c r="BG29" s="21"/>
      <c r="BH29" s="26"/>
    </row>
    <row r="30" spans="1:60" x14ac:dyDescent="0.35">
      <c r="A30" s="12"/>
      <c r="S30" s="3" t="s">
        <v>44</v>
      </c>
      <c r="T30" s="8">
        <v>1</v>
      </c>
      <c r="U30" s="8">
        <v>1</v>
      </c>
      <c r="V30" s="8" t="str">
        <f t="shared" ref="V30:AD30" si="27">IF(U30=1, "End", MATCH(1, INDEX($T$5:$AI$19, U30, 0), 0))</f>
        <v>End</v>
      </c>
      <c r="W30" s="8" t="e">
        <f t="shared" si="27"/>
        <v>#VALUE!</v>
      </c>
      <c r="X30" s="8" t="e">
        <f t="shared" si="27"/>
        <v>#VALUE!</v>
      </c>
      <c r="Y30" s="8" t="e">
        <f t="shared" si="27"/>
        <v>#VALUE!</v>
      </c>
      <c r="Z30" s="8" t="e">
        <f t="shared" si="27"/>
        <v>#VALUE!</v>
      </c>
      <c r="AA30" s="8" t="e">
        <f t="shared" si="27"/>
        <v>#VALUE!</v>
      </c>
      <c r="AB30" s="8" t="e">
        <f t="shared" si="27"/>
        <v>#VALUE!</v>
      </c>
      <c r="AC30" s="8" t="e">
        <f t="shared" si="27"/>
        <v>#VALUE!</v>
      </c>
      <c r="AD30" s="8" t="e">
        <f t="shared" si="27"/>
        <v>#VALUE!</v>
      </c>
      <c r="AE30" s="8" t="e">
        <f t="shared" ref="AE30:AH30" si="28">IF(AD30=1, "End", MATCH(1, INDEX($T$5:$AI$19, AD30, 0), 0))</f>
        <v>#VALUE!</v>
      </c>
      <c r="AF30" s="8" t="e">
        <f t="shared" si="28"/>
        <v>#VALUE!</v>
      </c>
      <c r="AG30" s="8" t="e">
        <f t="shared" si="28"/>
        <v>#VALUE!</v>
      </c>
      <c r="AH30" s="8" t="e">
        <f t="shared" si="28"/>
        <v>#VALUE!</v>
      </c>
      <c r="AI30" s="8"/>
      <c r="AM30" s="20">
        <v>6</v>
      </c>
      <c r="AN30" s="27">
        <f t="shared" si="5"/>
        <v>120</v>
      </c>
      <c r="AO30" s="27">
        <f t="shared" si="21"/>
        <v>0</v>
      </c>
      <c r="AP30" s="27">
        <f t="shared" si="6"/>
        <v>0</v>
      </c>
      <c r="AQ30" s="27">
        <f t="shared" si="7"/>
        <v>0</v>
      </c>
      <c r="AR30" s="27">
        <f t="shared" si="8"/>
        <v>0</v>
      </c>
      <c r="AS30" s="14">
        <f t="shared" si="9"/>
        <v>0</v>
      </c>
      <c r="AT30" s="27">
        <f t="shared" si="10"/>
        <v>0</v>
      </c>
      <c r="AU30" s="27">
        <f t="shared" si="11"/>
        <v>0</v>
      </c>
      <c r="AV30" s="27">
        <f t="shared" si="12"/>
        <v>0</v>
      </c>
      <c r="AW30" s="27">
        <f t="shared" si="13"/>
        <v>0</v>
      </c>
      <c r="AX30" s="27">
        <f t="shared" si="14"/>
        <v>0</v>
      </c>
      <c r="AY30" s="27">
        <f t="shared" si="15"/>
        <v>0</v>
      </c>
      <c r="AZ30" s="27">
        <f t="shared" si="16"/>
        <v>0</v>
      </c>
      <c r="BA30" s="27">
        <f t="shared" si="17"/>
        <v>0</v>
      </c>
      <c r="BB30" s="27">
        <f t="shared" si="18"/>
        <v>0</v>
      </c>
      <c r="BF30" s="22"/>
      <c r="BG30" s="21"/>
      <c r="BH30" s="26"/>
    </row>
    <row r="31" spans="1:60" x14ac:dyDescent="0.35">
      <c r="A31" s="12"/>
      <c r="S31" s="3" t="s">
        <v>45</v>
      </c>
      <c r="T31" s="8">
        <v>1</v>
      </c>
      <c r="U31" s="8">
        <v>1</v>
      </c>
      <c r="V31" s="8" t="str">
        <f t="shared" ref="V31:AD31" si="29">IF(U31=1, "End", MATCH(1, INDEX($T$5:$AI$19, U31, 0), 0))</f>
        <v>End</v>
      </c>
      <c r="W31" s="8" t="e">
        <f t="shared" si="29"/>
        <v>#VALUE!</v>
      </c>
      <c r="X31" s="8" t="e">
        <f t="shared" si="29"/>
        <v>#VALUE!</v>
      </c>
      <c r="Y31" s="8" t="e">
        <f t="shared" si="29"/>
        <v>#VALUE!</v>
      </c>
      <c r="Z31" s="8" t="e">
        <f t="shared" si="29"/>
        <v>#VALUE!</v>
      </c>
      <c r="AA31" s="8" t="e">
        <f t="shared" si="29"/>
        <v>#VALUE!</v>
      </c>
      <c r="AB31" s="8" t="e">
        <f t="shared" si="29"/>
        <v>#VALUE!</v>
      </c>
      <c r="AC31" s="8" t="e">
        <f t="shared" si="29"/>
        <v>#VALUE!</v>
      </c>
      <c r="AD31" s="8" t="e">
        <f t="shared" si="29"/>
        <v>#VALUE!</v>
      </c>
      <c r="AE31" s="8" t="e">
        <f t="shared" ref="AE31:AH31" si="30">IF(AD31=1, "End", MATCH(1, INDEX($T$5:$AI$19, AD31, 0), 0))</f>
        <v>#VALUE!</v>
      </c>
      <c r="AF31" s="8" t="e">
        <f t="shared" si="30"/>
        <v>#VALUE!</v>
      </c>
      <c r="AG31" s="8" t="e">
        <f t="shared" si="30"/>
        <v>#VALUE!</v>
      </c>
      <c r="AH31" s="8" t="e">
        <f t="shared" si="30"/>
        <v>#VALUE!</v>
      </c>
      <c r="AI31" s="8"/>
      <c r="AM31" s="20">
        <v>7</v>
      </c>
      <c r="AN31" s="27">
        <f t="shared" si="5"/>
        <v>0</v>
      </c>
      <c r="AO31" s="27">
        <f t="shared" si="21"/>
        <v>0</v>
      </c>
      <c r="AP31" s="27">
        <f t="shared" si="6"/>
        <v>0</v>
      </c>
      <c r="AQ31" s="27">
        <f t="shared" si="7"/>
        <v>0</v>
      </c>
      <c r="AR31" s="27">
        <f t="shared" si="8"/>
        <v>0</v>
      </c>
      <c r="AS31" s="27">
        <f t="shared" si="9"/>
        <v>120</v>
      </c>
      <c r="AT31" s="14">
        <f t="shared" si="10"/>
        <v>0</v>
      </c>
      <c r="AU31" s="27">
        <f t="shared" si="11"/>
        <v>0</v>
      </c>
      <c r="AV31" s="27">
        <f t="shared" si="12"/>
        <v>0</v>
      </c>
      <c r="AW31" s="27">
        <f t="shared" si="13"/>
        <v>0</v>
      </c>
      <c r="AX31" s="27">
        <f t="shared" si="14"/>
        <v>0</v>
      </c>
      <c r="AY31" s="27">
        <f t="shared" si="15"/>
        <v>0</v>
      </c>
      <c r="AZ31" s="27">
        <f t="shared" si="16"/>
        <v>0</v>
      </c>
      <c r="BA31" s="27">
        <f t="shared" si="17"/>
        <v>0</v>
      </c>
      <c r="BB31" s="27">
        <f t="shared" si="18"/>
        <v>0</v>
      </c>
      <c r="BF31" s="22"/>
      <c r="BG31" s="21"/>
      <c r="BH31" s="26"/>
    </row>
    <row r="32" spans="1:60" x14ac:dyDescent="0.35">
      <c r="A32" s="12"/>
      <c r="S32" s="31"/>
      <c r="T32" s="8"/>
      <c r="U32" s="8"/>
      <c r="W32" s="31"/>
      <c r="X32" s="31"/>
      <c r="Y32" s="31"/>
      <c r="Z32" s="31"/>
      <c r="AA32" s="31"/>
      <c r="AB32" s="31"/>
      <c r="AC32" s="31"/>
      <c r="AD32" s="31"/>
      <c r="AE32" s="31"/>
      <c r="AF32" s="31"/>
      <c r="AG32" s="31"/>
      <c r="AH32" s="31"/>
      <c r="AM32" s="20">
        <v>8</v>
      </c>
      <c r="AN32" s="27">
        <f t="shared" si="5"/>
        <v>0</v>
      </c>
      <c r="AO32" s="27">
        <f t="shared" si="21"/>
        <v>0</v>
      </c>
      <c r="AP32" s="27">
        <f t="shared" si="6"/>
        <v>0</v>
      </c>
      <c r="AQ32" s="27">
        <f t="shared" si="7"/>
        <v>0</v>
      </c>
      <c r="AR32" s="27">
        <f t="shared" si="8"/>
        <v>0</v>
      </c>
      <c r="AS32" s="27">
        <f t="shared" si="9"/>
        <v>0</v>
      </c>
      <c r="AT32" s="27">
        <f t="shared" si="10"/>
        <v>0</v>
      </c>
      <c r="AU32" s="14">
        <f t="shared" si="11"/>
        <v>0</v>
      </c>
      <c r="AV32" s="27">
        <f t="shared" si="12"/>
        <v>0</v>
      </c>
      <c r="AW32" s="27">
        <f t="shared" si="13"/>
        <v>0</v>
      </c>
      <c r="AX32" s="27">
        <f t="shared" si="14"/>
        <v>0</v>
      </c>
      <c r="AY32" s="27">
        <f t="shared" si="15"/>
        <v>0</v>
      </c>
      <c r="AZ32" s="27">
        <f t="shared" si="16"/>
        <v>0</v>
      </c>
      <c r="BA32" s="27">
        <f t="shared" si="17"/>
        <v>0</v>
      </c>
      <c r="BB32" s="27">
        <f t="shared" si="18"/>
        <v>120</v>
      </c>
      <c r="BF32" s="22"/>
      <c r="BG32" s="21"/>
      <c r="BH32" s="26"/>
    </row>
    <row r="33" spans="1:60" x14ac:dyDescent="0.35">
      <c r="A33" s="12"/>
      <c r="S33" s="31"/>
      <c r="T33" s="8"/>
      <c r="U33" s="8"/>
      <c r="W33" s="31"/>
      <c r="X33" s="31"/>
      <c r="Y33" s="31"/>
      <c r="Z33" s="31"/>
      <c r="AA33" s="31"/>
      <c r="AB33" s="31"/>
      <c r="AC33" s="31"/>
      <c r="AD33" s="31"/>
      <c r="AE33" s="31"/>
      <c r="AF33" s="31"/>
      <c r="AG33" s="31"/>
      <c r="AH33" s="31"/>
      <c r="AM33" s="20">
        <v>9</v>
      </c>
      <c r="AN33" s="27">
        <f t="shared" si="5"/>
        <v>120</v>
      </c>
      <c r="AO33" s="27">
        <f t="shared" si="21"/>
        <v>0</v>
      </c>
      <c r="AP33" s="27">
        <f t="shared" si="6"/>
        <v>0</v>
      </c>
      <c r="AQ33" s="27">
        <f t="shared" si="7"/>
        <v>0</v>
      </c>
      <c r="AR33" s="27">
        <f t="shared" si="8"/>
        <v>0</v>
      </c>
      <c r="AS33" s="27">
        <f t="shared" si="9"/>
        <v>0</v>
      </c>
      <c r="AT33" s="27">
        <f t="shared" si="10"/>
        <v>0</v>
      </c>
      <c r="AU33" s="27">
        <f t="shared" si="11"/>
        <v>0</v>
      </c>
      <c r="AV33" s="14">
        <f t="shared" si="12"/>
        <v>0</v>
      </c>
      <c r="AW33" s="27">
        <f t="shared" si="13"/>
        <v>0</v>
      </c>
      <c r="AX33" s="27">
        <f t="shared" si="14"/>
        <v>0</v>
      </c>
      <c r="AY33" s="27">
        <f t="shared" si="15"/>
        <v>0</v>
      </c>
      <c r="AZ33" s="27">
        <f t="shared" si="16"/>
        <v>0</v>
      </c>
      <c r="BA33" s="27">
        <f t="shared" si="17"/>
        <v>0</v>
      </c>
      <c r="BB33" s="27">
        <f t="shared" si="18"/>
        <v>0</v>
      </c>
      <c r="BF33" s="22"/>
      <c r="BG33" s="21"/>
      <c r="BH33" s="26"/>
    </row>
    <row r="34" spans="1:60" x14ac:dyDescent="0.35">
      <c r="A34" s="12"/>
      <c r="S34" s="31"/>
      <c r="T34" s="8"/>
      <c r="U34" s="8"/>
      <c r="W34" s="31"/>
      <c r="X34" s="31"/>
      <c r="Y34" s="31"/>
      <c r="Z34" s="31"/>
      <c r="AA34" s="31"/>
      <c r="AB34" s="31"/>
      <c r="AC34" s="31"/>
      <c r="AD34" s="31"/>
      <c r="AE34" s="31"/>
      <c r="AF34" s="31"/>
      <c r="AG34" s="31"/>
      <c r="AH34" s="31"/>
      <c r="AM34" s="20">
        <v>10</v>
      </c>
      <c r="AN34" s="27">
        <f t="shared" si="5"/>
        <v>0</v>
      </c>
      <c r="AO34" s="27">
        <f t="shared" si="21"/>
        <v>0</v>
      </c>
      <c r="AP34" s="27">
        <f t="shared" si="6"/>
        <v>0</v>
      </c>
      <c r="AQ34" s="27">
        <f t="shared" si="7"/>
        <v>0</v>
      </c>
      <c r="AR34" s="27">
        <f t="shared" si="8"/>
        <v>0</v>
      </c>
      <c r="AS34" s="27">
        <f t="shared" si="9"/>
        <v>0</v>
      </c>
      <c r="AT34" s="27">
        <f t="shared" si="10"/>
        <v>0</v>
      </c>
      <c r="AU34" s="27">
        <f t="shared" si="11"/>
        <v>0</v>
      </c>
      <c r="AV34" s="27">
        <f t="shared" si="12"/>
        <v>0</v>
      </c>
      <c r="AW34" s="14">
        <f t="shared" si="13"/>
        <v>0</v>
      </c>
      <c r="AX34" s="27">
        <f t="shared" si="14"/>
        <v>0</v>
      </c>
      <c r="AY34" s="27">
        <f t="shared" si="15"/>
        <v>120</v>
      </c>
      <c r="AZ34" s="27">
        <f t="shared" si="16"/>
        <v>0</v>
      </c>
      <c r="BA34" s="27">
        <f t="shared" si="17"/>
        <v>0</v>
      </c>
      <c r="BB34" s="27">
        <f t="shared" si="18"/>
        <v>0</v>
      </c>
      <c r="BF34" s="22"/>
      <c r="BG34" s="21"/>
      <c r="BH34" s="26"/>
    </row>
    <row r="35" spans="1:60" x14ac:dyDescent="0.35">
      <c r="A35" s="12"/>
      <c r="S35" s="31"/>
      <c r="T35" s="8"/>
      <c r="U35" s="8"/>
      <c r="W35" s="31"/>
      <c r="X35" s="31"/>
      <c r="Y35" s="31"/>
      <c r="Z35" s="31"/>
      <c r="AA35" s="31"/>
      <c r="AB35" s="31"/>
      <c r="AC35" s="31"/>
      <c r="AD35" s="31"/>
      <c r="AE35" s="31"/>
      <c r="AF35" s="31"/>
      <c r="AG35" s="31"/>
      <c r="AH35" s="31"/>
      <c r="AM35" s="20">
        <v>11</v>
      </c>
      <c r="AN35" s="27">
        <f t="shared" si="5"/>
        <v>0</v>
      </c>
      <c r="AO35" s="27">
        <f t="shared" si="21"/>
        <v>0</v>
      </c>
      <c r="AP35" s="27">
        <f t="shared" si="6"/>
        <v>0</v>
      </c>
      <c r="AQ35" s="27">
        <f t="shared" si="7"/>
        <v>0</v>
      </c>
      <c r="AR35" s="27">
        <f t="shared" si="8"/>
        <v>120</v>
      </c>
      <c r="AS35" s="27">
        <f t="shared" si="9"/>
        <v>0</v>
      </c>
      <c r="AT35" s="27">
        <f t="shared" si="10"/>
        <v>0</v>
      </c>
      <c r="AU35" s="27">
        <f t="shared" si="11"/>
        <v>0</v>
      </c>
      <c r="AV35" s="27">
        <f t="shared" si="12"/>
        <v>0</v>
      </c>
      <c r="AW35" s="27">
        <f t="shared" si="13"/>
        <v>0</v>
      </c>
      <c r="AX35" s="14">
        <f t="shared" si="14"/>
        <v>0</v>
      </c>
      <c r="AY35" s="27">
        <f t="shared" si="15"/>
        <v>0</v>
      </c>
      <c r="AZ35" s="27">
        <f t="shared" si="16"/>
        <v>0</v>
      </c>
      <c r="BA35" s="27">
        <f t="shared" si="17"/>
        <v>0</v>
      </c>
      <c r="BB35" s="27">
        <f t="shared" si="18"/>
        <v>0</v>
      </c>
      <c r="BF35" s="22"/>
      <c r="BG35" s="21"/>
      <c r="BH35" s="26"/>
    </row>
    <row r="36" spans="1:60" x14ac:dyDescent="0.35">
      <c r="A36" s="12"/>
      <c r="S36" s="31"/>
      <c r="T36" s="8"/>
      <c r="U36" s="8"/>
      <c r="W36" s="31"/>
      <c r="X36" s="31"/>
      <c r="Y36" s="31"/>
      <c r="Z36" s="31"/>
      <c r="AA36" s="31"/>
      <c r="AB36" s="31"/>
      <c r="AC36" s="31"/>
      <c r="AD36" s="31"/>
      <c r="AE36" s="31"/>
      <c r="AF36" s="31"/>
      <c r="AG36" s="31"/>
      <c r="AH36" s="31"/>
      <c r="AM36" s="20">
        <v>12</v>
      </c>
      <c r="AN36" s="27">
        <f t="shared" si="5"/>
        <v>0</v>
      </c>
      <c r="AO36" s="27">
        <f t="shared" si="21"/>
        <v>0</v>
      </c>
      <c r="AP36" s="27">
        <f t="shared" si="6"/>
        <v>0</v>
      </c>
      <c r="AQ36" s="27">
        <f t="shared" si="7"/>
        <v>0</v>
      </c>
      <c r="AR36" s="27">
        <f t="shared" si="8"/>
        <v>0</v>
      </c>
      <c r="AS36" s="27">
        <f t="shared" si="9"/>
        <v>0</v>
      </c>
      <c r="AT36" s="27">
        <f t="shared" si="10"/>
        <v>0</v>
      </c>
      <c r="AU36" s="27">
        <f t="shared" si="11"/>
        <v>0</v>
      </c>
      <c r="AV36" s="27">
        <f t="shared" si="12"/>
        <v>0</v>
      </c>
      <c r="AW36" s="27">
        <f t="shared" si="13"/>
        <v>0</v>
      </c>
      <c r="AX36" s="27">
        <f t="shared" si="14"/>
        <v>120</v>
      </c>
      <c r="AY36" s="14">
        <f t="shared" si="15"/>
        <v>0</v>
      </c>
      <c r="AZ36" s="27">
        <f t="shared" si="16"/>
        <v>0</v>
      </c>
      <c r="BA36" s="27">
        <f t="shared" si="17"/>
        <v>0</v>
      </c>
      <c r="BB36" s="27">
        <f t="shared" si="18"/>
        <v>0</v>
      </c>
      <c r="BF36" s="22"/>
      <c r="BG36" s="21"/>
      <c r="BH36" s="26"/>
    </row>
    <row r="37" spans="1:60" x14ac:dyDescent="0.35">
      <c r="A37" s="12"/>
      <c r="S37" s="31"/>
      <c r="T37" s="31"/>
      <c r="U37" s="31"/>
      <c r="V37" s="31"/>
      <c r="W37" s="31"/>
      <c r="X37" s="31"/>
      <c r="Y37" s="31"/>
      <c r="Z37" s="31"/>
      <c r="AA37" s="31"/>
      <c r="AB37" s="31"/>
      <c r="AC37" s="31"/>
      <c r="AD37" s="31"/>
      <c r="AE37" s="31"/>
      <c r="AF37" s="31"/>
      <c r="AG37" s="31"/>
      <c r="AH37" s="31"/>
      <c r="AM37" s="20">
        <v>13</v>
      </c>
      <c r="AN37" s="27">
        <f t="shared" si="5"/>
        <v>0</v>
      </c>
      <c r="AO37" s="27">
        <f t="shared" si="21"/>
        <v>0</v>
      </c>
      <c r="AP37" s="27">
        <f t="shared" si="6"/>
        <v>0</v>
      </c>
      <c r="AQ37" s="27">
        <f t="shared" si="7"/>
        <v>0</v>
      </c>
      <c r="AR37" s="27">
        <f t="shared" si="8"/>
        <v>0</v>
      </c>
      <c r="AS37" s="27">
        <f t="shared" si="9"/>
        <v>0</v>
      </c>
      <c r="AT37" s="27">
        <f t="shared" si="10"/>
        <v>0</v>
      </c>
      <c r="AU37" s="27">
        <f t="shared" si="11"/>
        <v>120</v>
      </c>
      <c r="AV37" s="27">
        <f t="shared" si="12"/>
        <v>0</v>
      </c>
      <c r="AW37" s="27">
        <f t="shared" si="13"/>
        <v>0</v>
      </c>
      <c r="AX37" s="27">
        <f t="shared" si="14"/>
        <v>0</v>
      </c>
      <c r="AY37" s="27">
        <f t="shared" si="15"/>
        <v>0</v>
      </c>
      <c r="AZ37" s="14">
        <f t="shared" si="16"/>
        <v>0</v>
      </c>
      <c r="BA37" s="27">
        <f t="shared" si="17"/>
        <v>0</v>
      </c>
      <c r="BB37" s="27">
        <f t="shared" si="18"/>
        <v>0</v>
      </c>
      <c r="BF37" s="22"/>
      <c r="BG37" s="21"/>
      <c r="BH37" s="26"/>
    </row>
    <row r="38" spans="1:60" x14ac:dyDescent="0.35">
      <c r="A38" s="12"/>
      <c r="S38" s="31"/>
      <c r="T38" s="31"/>
      <c r="U38" s="31"/>
      <c r="V38" s="31"/>
      <c r="W38" s="31"/>
      <c r="X38" s="31"/>
      <c r="Y38" s="31"/>
      <c r="Z38" s="31"/>
      <c r="AA38" s="31"/>
      <c r="AB38" s="31"/>
      <c r="AC38" s="31"/>
      <c r="AD38" s="31"/>
      <c r="AE38" s="31"/>
      <c r="AF38" s="31"/>
      <c r="AG38" s="31"/>
      <c r="AH38" s="31"/>
      <c r="AM38" s="20">
        <v>14</v>
      </c>
      <c r="AN38" s="27">
        <f t="shared" si="5"/>
        <v>0</v>
      </c>
      <c r="AO38" s="27">
        <f t="shared" si="21"/>
        <v>0</v>
      </c>
      <c r="AP38" s="27">
        <f t="shared" si="6"/>
        <v>0</v>
      </c>
      <c r="AQ38" s="27">
        <f t="shared" si="7"/>
        <v>120</v>
      </c>
      <c r="AR38" s="27">
        <f t="shared" si="8"/>
        <v>0</v>
      </c>
      <c r="AS38" s="27">
        <f t="shared" si="9"/>
        <v>0</v>
      </c>
      <c r="AT38" s="27">
        <f t="shared" si="10"/>
        <v>0</v>
      </c>
      <c r="AU38" s="27">
        <f t="shared" si="11"/>
        <v>0</v>
      </c>
      <c r="AV38" s="27">
        <f t="shared" si="12"/>
        <v>0</v>
      </c>
      <c r="AW38" s="27">
        <f t="shared" si="13"/>
        <v>0</v>
      </c>
      <c r="AX38" s="27">
        <f t="shared" si="14"/>
        <v>0</v>
      </c>
      <c r="AY38" s="27">
        <f t="shared" si="15"/>
        <v>0</v>
      </c>
      <c r="AZ38" s="27">
        <f t="shared" si="16"/>
        <v>0</v>
      </c>
      <c r="BA38" s="14">
        <f t="shared" si="17"/>
        <v>0</v>
      </c>
      <c r="BB38" s="27">
        <f t="shared" si="18"/>
        <v>0</v>
      </c>
      <c r="BF38" s="22"/>
      <c r="BG38" s="21"/>
      <c r="BH38" s="26"/>
    </row>
    <row r="39" spans="1:60" x14ac:dyDescent="0.35">
      <c r="A39" s="12"/>
      <c r="S39" s="31"/>
      <c r="T39" s="31"/>
      <c r="U39" s="31"/>
      <c r="V39" s="31"/>
      <c r="W39" s="31"/>
      <c r="X39" s="31"/>
      <c r="Y39" s="31"/>
      <c r="Z39" s="31"/>
      <c r="AA39" s="31"/>
      <c r="AB39" s="31"/>
      <c r="AC39" s="31"/>
      <c r="AD39" s="31"/>
      <c r="AE39" s="31"/>
      <c r="AF39" s="31"/>
      <c r="AG39" s="31"/>
      <c r="AH39" s="31"/>
      <c r="AM39" s="20">
        <v>15</v>
      </c>
      <c r="AN39" s="27">
        <f t="shared" si="5"/>
        <v>0</v>
      </c>
      <c r="AO39" s="27">
        <f t="shared" si="21"/>
        <v>0</v>
      </c>
      <c r="AP39" s="27">
        <f t="shared" si="6"/>
        <v>0</v>
      </c>
      <c r="AQ39" s="27">
        <f t="shared" si="7"/>
        <v>0</v>
      </c>
      <c r="AR39" s="27">
        <f t="shared" si="8"/>
        <v>0</v>
      </c>
      <c r="AS39" s="27">
        <f t="shared" si="9"/>
        <v>0</v>
      </c>
      <c r="AT39" s="27">
        <f t="shared" si="10"/>
        <v>0</v>
      </c>
      <c r="AU39" s="27">
        <f t="shared" si="11"/>
        <v>0</v>
      </c>
      <c r="AV39" s="27">
        <f t="shared" si="12"/>
        <v>120</v>
      </c>
      <c r="AW39" s="27">
        <f t="shared" si="13"/>
        <v>0</v>
      </c>
      <c r="AX39" s="27">
        <f t="shared" si="14"/>
        <v>0</v>
      </c>
      <c r="AY39" s="27">
        <f t="shared" si="15"/>
        <v>0</v>
      </c>
      <c r="AZ39" s="27">
        <f t="shared" si="16"/>
        <v>0</v>
      </c>
      <c r="BA39" s="27">
        <f t="shared" si="17"/>
        <v>0</v>
      </c>
      <c r="BB39" s="14">
        <f t="shared" si="18"/>
        <v>0</v>
      </c>
      <c r="BF39" s="22"/>
      <c r="BG39" s="30"/>
      <c r="BH39" s="26"/>
    </row>
    <row r="40" spans="1:60" x14ac:dyDescent="0.35">
      <c r="S40" s="31"/>
      <c r="T40" s="31"/>
      <c r="U40" s="31"/>
      <c r="V40" s="31"/>
      <c r="W40" s="31"/>
      <c r="X40" s="31"/>
      <c r="Y40" s="31"/>
      <c r="Z40" s="31"/>
      <c r="AA40" s="31"/>
      <c r="AB40" s="31"/>
      <c r="AC40" s="31"/>
      <c r="AD40" s="31"/>
      <c r="AE40" s="31"/>
      <c r="AF40" s="31"/>
      <c r="AG40" s="31"/>
      <c r="AH40" s="31"/>
      <c r="AM40" s="16"/>
      <c r="AN40" s="30"/>
      <c r="AO40" s="30"/>
      <c r="AP40" s="30"/>
      <c r="AQ40" s="30"/>
      <c r="AR40" s="30"/>
      <c r="AS40" s="30"/>
      <c r="AT40" s="30"/>
      <c r="AU40" s="30"/>
      <c r="AV40" s="30"/>
      <c r="AW40" s="30"/>
      <c r="AX40" s="30"/>
      <c r="AY40" s="30"/>
      <c r="AZ40" s="30"/>
      <c r="BA40" s="30"/>
      <c r="BB40" s="30"/>
      <c r="BC40" s="30"/>
      <c r="BD40" s="30"/>
      <c r="BE40" s="30"/>
      <c r="BF40" s="30"/>
      <c r="BG40" s="30"/>
      <c r="BH40" s="26"/>
    </row>
    <row r="41" spans="1:60" x14ac:dyDescent="0.35">
      <c r="AM41" s="30"/>
      <c r="AN41" s="30"/>
      <c r="AO41" s="30"/>
      <c r="AP41" s="30"/>
      <c r="AQ41" s="30"/>
      <c r="AR41" s="30"/>
      <c r="AS41" s="30"/>
      <c r="AT41" s="30"/>
      <c r="AU41" s="30"/>
      <c r="AV41" s="30"/>
      <c r="AW41" s="30"/>
      <c r="AX41" s="30"/>
      <c r="AY41" s="30"/>
      <c r="AZ41" s="30"/>
      <c r="BA41" s="30"/>
      <c r="BB41" s="30"/>
      <c r="BC41" s="30"/>
      <c r="BD41" s="30"/>
      <c r="BE41" s="30"/>
      <c r="BF41" s="30"/>
      <c r="BG41" s="30"/>
    </row>
    <row r="42" spans="1:60" x14ac:dyDescent="0.35">
      <c r="A42" s="16" t="s">
        <v>17</v>
      </c>
      <c r="B42" s="17" t="s">
        <v>36</v>
      </c>
      <c r="AM42" s="30"/>
      <c r="AN42" s="30"/>
      <c r="AO42" s="30"/>
      <c r="AP42" s="30"/>
      <c r="AQ42" s="30"/>
      <c r="AR42" s="30"/>
      <c r="AS42" s="30"/>
      <c r="AT42" s="30"/>
      <c r="AU42" s="30"/>
      <c r="AV42" s="30"/>
      <c r="AW42" s="30"/>
      <c r="AX42" s="30"/>
      <c r="AY42" s="30"/>
      <c r="AZ42" s="30"/>
      <c r="BA42" s="30"/>
      <c r="BB42" s="30"/>
      <c r="BC42" s="30"/>
      <c r="BD42" s="30"/>
      <c r="BE42" s="30"/>
      <c r="BF42" s="30"/>
      <c r="BG42" s="30"/>
    </row>
    <row r="43" spans="1:60" x14ac:dyDescent="0.35">
      <c r="B43" s="17" t="s">
        <v>18</v>
      </c>
      <c r="AM43" s="30"/>
      <c r="AN43" s="30"/>
      <c r="AO43" s="30"/>
      <c r="AP43" s="30"/>
      <c r="AQ43" s="30"/>
      <c r="AR43" s="30"/>
      <c r="AS43" s="30"/>
      <c r="AT43" s="30"/>
      <c r="AU43" s="30"/>
      <c r="AV43" s="30"/>
      <c r="AW43" s="30"/>
      <c r="AX43" s="30"/>
      <c r="AY43" s="30"/>
      <c r="AZ43" s="30"/>
      <c r="BA43" s="30"/>
      <c r="BB43" s="30"/>
      <c r="BC43" s="30"/>
      <c r="BD43" s="30"/>
      <c r="BE43" s="30"/>
      <c r="BF43" s="30"/>
      <c r="BG43" s="30"/>
    </row>
    <row r="44" spans="1:60" x14ac:dyDescent="0.35">
      <c r="B44" s="17" t="s">
        <v>19</v>
      </c>
      <c r="AM44" s="30"/>
      <c r="AN44" s="30"/>
      <c r="AO44" s="30"/>
      <c r="AP44" s="30"/>
      <c r="AQ44" s="30"/>
      <c r="AR44" s="30"/>
      <c r="AS44" s="30"/>
      <c r="AT44" s="30"/>
      <c r="AU44" s="30"/>
      <c r="AV44" s="30"/>
      <c r="AW44" s="30"/>
      <c r="AX44" s="30"/>
      <c r="AY44" s="30"/>
      <c r="AZ44" s="30"/>
      <c r="BA44" s="30"/>
      <c r="BB44" s="30"/>
      <c r="BC44" s="30"/>
      <c r="BD44" s="30"/>
      <c r="BE44" s="30"/>
      <c r="BF44" s="30"/>
      <c r="BG44" s="30"/>
    </row>
    <row r="45" spans="1:60" x14ac:dyDescent="0.35">
      <c r="B45" s="17" t="s">
        <v>41</v>
      </c>
      <c r="AM45" s="30"/>
      <c r="AN45" s="30"/>
      <c r="AO45" s="30"/>
      <c r="AP45" s="30"/>
      <c r="AQ45" s="30"/>
      <c r="AR45" s="30"/>
      <c r="AS45" s="30"/>
      <c r="AT45" s="30"/>
      <c r="AU45" s="30"/>
      <c r="AV45" s="30"/>
      <c r="AW45" s="30"/>
      <c r="AX45" s="30"/>
      <c r="AY45" s="30"/>
      <c r="AZ45" s="30"/>
      <c r="BA45" s="30"/>
      <c r="BB45" s="30"/>
      <c r="BC45" s="30"/>
      <c r="BD45" s="30"/>
      <c r="BE45" s="30"/>
      <c r="BF45" s="30"/>
      <c r="BG45" s="30"/>
    </row>
    <row r="46" spans="1:60" x14ac:dyDescent="0.35">
      <c r="A46" s="12"/>
      <c r="AM46" s="30"/>
      <c r="AN46" s="30"/>
      <c r="AO46" s="30"/>
      <c r="AP46" s="30"/>
      <c r="AQ46" s="30"/>
      <c r="AR46" s="30"/>
      <c r="AS46" s="30"/>
      <c r="AT46" s="30"/>
      <c r="AU46" s="30"/>
      <c r="AV46" s="30"/>
      <c r="AW46" s="30"/>
      <c r="AX46" s="30"/>
      <c r="AY46" s="30"/>
      <c r="AZ46" s="30"/>
      <c r="BA46" s="30"/>
      <c r="BB46" s="30"/>
      <c r="BC46" s="30"/>
      <c r="BD46" s="30"/>
      <c r="BE46" s="30"/>
      <c r="BF46" s="30"/>
      <c r="BG46" s="30"/>
      <c r="BH46" s="21"/>
    </row>
    <row r="47" spans="1:60" x14ac:dyDescent="0.35">
      <c r="A47" s="12"/>
      <c r="AM47" s="30"/>
      <c r="AN47" s="30"/>
      <c r="AO47" s="30"/>
      <c r="AP47" s="30"/>
      <c r="AQ47" s="30"/>
      <c r="AR47" s="30"/>
      <c r="AS47" s="30"/>
      <c r="AT47" s="30"/>
      <c r="AU47" s="30"/>
      <c r="AV47" s="30"/>
      <c r="AW47" s="30"/>
      <c r="AX47" s="30"/>
      <c r="AY47" s="30"/>
      <c r="AZ47" s="30"/>
      <c r="BA47" s="30"/>
      <c r="BB47" s="30"/>
      <c r="BC47" s="30"/>
      <c r="BD47" s="30"/>
      <c r="BE47" s="30"/>
      <c r="BF47" s="30"/>
      <c r="BG47" s="30"/>
      <c r="BH47" s="21"/>
    </row>
    <row r="48" spans="1:60" x14ac:dyDescent="0.35">
      <c r="A48" s="12"/>
      <c r="AM48" s="30"/>
      <c r="AN48" s="30"/>
      <c r="AO48" s="30"/>
      <c r="AP48" s="30"/>
      <c r="AQ48" s="30"/>
      <c r="AR48" s="30"/>
      <c r="AS48" s="30"/>
      <c r="AT48" s="30"/>
      <c r="AU48" s="30"/>
      <c r="AV48" s="30"/>
      <c r="AW48" s="30"/>
      <c r="AX48" s="30"/>
      <c r="AY48" s="30"/>
      <c r="AZ48" s="30"/>
      <c r="BA48" s="30"/>
      <c r="BB48" s="30"/>
      <c r="BC48" s="30"/>
      <c r="BD48" s="30"/>
      <c r="BE48" s="30"/>
      <c r="BF48" s="30"/>
      <c r="BG48" s="30"/>
      <c r="BH48" s="21"/>
    </row>
    <row r="49" spans="1:60" x14ac:dyDescent="0.35">
      <c r="A49" s="12"/>
      <c r="AM49" s="30"/>
      <c r="AN49" s="30"/>
      <c r="AO49" s="30"/>
      <c r="AP49" s="30"/>
      <c r="AQ49" s="30"/>
      <c r="AR49" s="30"/>
      <c r="AS49" s="30"/>
      <c r="AT49" s="30"/>
      <c r="AU49" s="30"/>
      <c r="AV49" s="30"/>
      <c r="AW49" s="30"/>
      <c r="AX49" s="30"/>
      <c r="AY49" s="30"/>
      <c r="AZ49" s="30"/>
      <c r="BA49" s="30"/>
      <c r="BB49" s="30"/>
      <c r="BC49" s="30"/>
      <c r="BD49" s="30"/>
      <c r="BE49" s="30"/>
      <c r="BF49" s="30"/>
      <c r="BG49" s="30"/>
      <c r="BH49" s="21"/>
    </row>
    <row r="50" spans="1:60" x14ac:dyDescent="0.35">
      <c r="A50" s="12"/>
      <c r="AM50" s="30"/>
      <c r="AN50" s="30"/>
      <c r="AO50" s="30"/>
      <c r="AP50" s="30"/>
      <c r="AQ50" s="30"/>
      <c r="AR50" s="30"/>
      <c r="AS50" s="30"/>
      <c r="AT50" s="30"/>
      <c r="AU50" s="30"/>
      <c r="AV50" s="30"/>
      <c r="AW50" s="30"/>
      <c r="AX50" s="30"/>
      <c r="AY50" s="30"/>
      <c r="AZ50" s="30"/>
      <c r="BA50" s="30"/>
      <c r="BB50" s="30"/>
      <c r="BC50" s="30"/>
      <c r="BD50" s="30"/>
      <c r="BE50" s="30"/>
      <c r="BF50" s="30"/>
      <c r="BG50" s="30"/>
      <c r="BH50" s="21"/>
    </row>
    <row r="51" spans="1:60" x14ac:dyDescent="0.35">
      <c r="A51" s="12"/>
      <c r="AM51" s="30"/>
      <c r="AN51" s="30"/>
      <c r="AO51" s="30"/>
      <c r="AP51" s="30"/>
      <c r="AQ51" s="30"/>
      <c r="AR51" s="30"/>
      <c r="AS51" s="30"/>
      <c r="AT51" s="30"/>
      <c r="AU51" s="30"/>
      <c r="AV51" s="30"/>
      <c r="AW51" s="30"/>
      <c r="AX51" s="30"/>
      <c r="AY51" s="30"/>
      <c r="AZ51" s="30"/>
      <c r="BA51" s="30"/>
      <c r="BB51" s="30"/>
      <c r="BC51" s="30"/>
      <c r="BD51" s="30"/>
      <c r="BE51" s="30"/>
      <c r="BF51" s="30"/>
      <c r="BG51" s="30"/>
      <c r="BH51" s="21"/>
    </row>
    <row r="52" spans="1:60" x14ac:dyDescent="0.35">
      <c r="A52" s="12"/>
      <c r="AM52" s="30"/>
      <c r="AN52" s="30"/>
      <c r="AO52" s="30"/>
      <c r="AP52" s="30"/>
      <c r="AQ52" s="30"/>
      <c r="AR52" s="30"/>
      <c r="AS52" s="30"/>
      <c r="AT52" s="30"/>
      <c r="AU52" s="30"/>
      <c r="AV52" s="30"/>
      <c r="AW52" s="30"/>
      <c r="AX52" s="30"/>
      <c r="AY52" s="30"/>
      <c r="AZ52" s="30"/>
      <c r="BA52" s="30"/>
      <c r="BB52" s="30"/>
      <c r="BC52" s="30"/>
      <c r="BD52" s="30"/>
      <c r="BE52" s="30"/>
      <c r="BF52" s="30"/>
      <c r="BG52" s="30"/>
      <c r="BH52" s="21"/>
    </row>
    <row r="53" spans="1:60" x14ac:dyDescent="0.35">
      <c r="A53" s="12"/>
      <c r="AM53" s="30"/>
      <c r="AN53" s="30"/>
      <c r="AO53" s="30"/>
      <c r="AP53" s="30"/>
      <c r="AQ53" s="30"/>
      <c r="AR53" s="30"/>
      <c r="AS53" s="30"/>
      <c r="AT53" s="30"/>
      <c r="AU53" s="30"/>
      <c r="AV53" s="30"/>
      <c r="AW53" s="30"/>
      <c r="AX53" s="30"/>
      <c r="AY53" s="30"/>
      <c r="AZ53" s="30"/>
      <c r="BA53" s="30"/>
      <c r="BB53" s="30"/>
      <c r="BC53" s="30"/>
      <c r="BD53" s="30"/>
      <c r="BE53" s="30"/>
      <c r="BF53" s="30"/>
      <c r="BG53" s="30"/>
      <c r="BH53" s="21"/>
    </row>
    <row r="54" spans="1:60" x14ac:dyDescent="0.35">
      <c r="A54" s="12"/>
      <c r="AM54" s="30"/>
      <c r="AN54" s="30"/>
      <c r="AO54" s="30"/>
      <c r="AP54" s="30"/>
      <c r="AQ54" s="30"/>
      <c r="AR54" s="30"/>
      <c r="AS54" s="30"/>
      <c r="AT54" s="30"/>
      <c r="AU54" s="30"/>
      <c r="AV54" s="30"/>
      <c r="AW54" s="30"/>
      <c r="AX54" s="30"/>
      <c r="AY54" s="30"/>
      <c r="AZ54" s="30"/>
      <c r="BA54" s="30"/>
      <c r="BB54" s="30"/>
      <c r="BC54" s="30"/>
      <c r="BD54" s="30"/>
      <c r="BE54" s="30"/>
      <c r="BF54" s="30"/>
      <c r="BG54" s="30"/>
      <c r="BH54" s="21"/>
    </row>
    <row r="55" spans="1:60" x14ac:dyDescent="0.35">
      <c r="A55" s="12"/>
      <c r="AM55" s="30"/>
      <c r="AN55" s="30"/>
      <c r="AO55" s="30"/>
      <c r="AP55" s="30"/>
      <c r="AQ55" s="30"/>
      <c r="AR55" s="30"/>
      <c r="AS55" s="30"/>
      <c r="AT55" s="30"/>
      <c r="AU55" s="30"/>
      <c r="AV55" s="30"/>
      <c r="AW55" s="30"/>
      <c r="AX55" s="30"/>
      <c r="AY55" s="30"/>
      <c r="AZ55" s="30"/>
      <c r="BA55" s="30"/>
      <c r="BB55" s="30"/>
      <c r="BC55" s="30"/>
      <c r="BD55" s="30"/>
      <c r="BE55" s="30"/>
      <c r="BF55" s="30"/>
      <c r="BG55" s="30"/>
      <c r="BH55" s="21"/>
    </row>
    <row r="56" spans="1:60" x14ac:dyDescent="0.35">
      <c r="A56" s="12"/>
      <c r="AM56" s="30"/>
      <c r="AN56" s="30"/>
      <c r="AO56" s="30"/>
      <c r="AP56" s="30"/>
      <c r="AQ56" s="30"/>
      <c r="AR56" s="30"/>
      <c r="AS56" s="30"/>
      <c r="AT56" s="30"/>
      <c r="AU56" s="30"/>
      <c r="AV56" s="30"/>
      <c r="AW56" s="30"/>
      <c r="AX56" s="30"/>
      <c r="AY56" s="30"/>
      <c r="AZ56" s="30"/>
      <c r="BA56" s="30"/>
      <c r="BB56" s="30"/>
      <c r="BC56" s="30"/>
      <c r="BD56" s="30"/>
      <c r="BE56" s="30"/>
      <c r="BF56" s="30"/>
      <c r="BG56" s="30"/>
      <c r="BH56" s="21"/>
    </row>
    <row r="57" spans="1:60" x14ac:dyDescent="0.35">
      <c r="A57" s="12"/>
      <c r="AM57" s="30"/>
      <c r="AN57" s="30"/>
      <c r="AO57" s="30"/>
      <c r="AP57" s="30"/>
      <c r="AQ57" s="30"/>
      <c r="AR57" s="30"/>
      <c r="AS57" s="30"/>
      <c r="AT57" s="30"/>
      <c r="AU57" s="30"/>
      <c r="AV57" s="30"/>
      <c r="AW57" s="30"/>
      <c r="AX57" s="30"/>
      <c r="AY57" s="30"/>
      <c r="AZ57" s="30"/>
      <c r="BA57" s="30"/>
      <c r="BB57" s="30"/>
      <c r="BC57" s="30"/>
      <c r="BD57" s="30"/>
      <c r="BE57" s="30"/>
      <c r="BF57" s="30"/>
      <c r="BG57" s="30"/>
      <c r="BH57" s="21"/>
    </row>
    <row r="58" spans="1:60" x14ac:dyDescent="0.35">
      <c r="A58" s="12"/>
      <c r="AM58" s="30"/>
      <c r="AN58" s="30"/>
      <c r="AO58" s="30"/>
      <c r="AP58" s="30"/>
      <c r="AQ58" s="30"/>
      <c r="AR58" s="30"/>
      <c r="AS58" s="30"/>
      <c r="AT58" s="30"/>
      <c r="AU58" s="30"/>
      <c r="AV58" s="30"/>
      <c r="AW58" s="30"/>
      <c r="AX58" s="30"/>
      <c r="AY58" s="30"/>
      <c r="AZ58" s="30"/>
      <c r="BA58" s="30"/>
      <c r="BB58" s="30"/>
      <c r="BC58" s="30"/>
      <c r="BD58" s="30"/>
      <c r="BE58" s="30"/>
      <c r="BF58" s="30"/>
      <c r="BG58" s="30"/>
      <c r="BH58" s="21"/>
    </row>
    <row r="59" spans="1:60" x14ac:dyDescent="0.35">
      <c r="A59" s="12"/>
      <c r="AM59" s="30"/>
      <c r="AN59" s="30"/>
      <c r="AO59" s="30"/>
      <c r="AP59" s="30"/>
      <c r="AQ59" s="30"/>
      <c r="AR59" s="30"/>
      <c r="AS59" s="30"/>
      <c r="AT59" s="30"/>
      <c r="AU59" s="30"/>
      <c r="AV59" s="30"/>
      <c r="AW59" s="30"/>
      <c r="AX59" s="30"/>
      <c r="AY59" s="30"/>
      <c r="AZ59" s="30"/>
      <c r="BA59" s="30"/>
      <c r="BB59" s="30"/>
      <c r="BC59" s="30"/>
      <c r="BD59" s="30"/>
      <c r="BE59" s="30"/>
      <c r="BF59" s="30"/>
      <c r="BG59" s="30"/>
      <c r="BH59" s="21"/>
    </row>
    <row r="61" spans="1:60" x14ac:dyDescent="0.35">
      <c r="B61" s="16"/>
    </row>
    <row r="62" spans="1:60" x14ac:dyDescent="0.35">
      <c r="A62" s="17"/>
      <c r="B62" s="17"/>
    </row>
    <row r="63" spans="1:60" x14ac:dyDescent="0.35">
      <c r="A63" s="17"/>
      <c r="B63" s="17"/>
    </row>
    <row r="64" spans="1:60" x14ac:dyDescent="0.35">
      <c r="A64" s="17"/>
      <c r="B64" s="17"/>
    </row>
    <row r="65" spans="1:3" x14ac:dyDescent="0.35">
      <c r="A65" s="17"/>
      <c r="B65" s="17"/>
    </row>
    <row r="66" spans="1:3" x14ac:dyDescent="0.35">
      <c r="A66" s="17"/>
      <c r="B66" s="17"/>
    </row>
    <row r="71" spans="1:3" x14ac:dyDescent="0.35">
      <c r="C71" s="17"/>
    </row>
  </sheetData>
  <mergeCells count="7">
    <mergeCell ref="BM5:BO5"/>
    <mergeCell ref="S24:AH24"/>
    <mergeCell ref="AI20:AK22"/>
    <mergeCell ref="AM23:BF23"/>
    <mergeCell ref="B3:Q3"/>
    <mergeCell ref="S3:AK3"/>
    <mergeCell ref="AM3:BG3"/>
  </mergeCells>
  <phoneticPr fontId="7"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Lost Baggage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Mibzar Terán</dc:creator>
  <cp:lastModifiedBy>Mibzar Teran</cp:lastModifiedBy>
  <dcterms:created xsi:type="dcterms:W3CDTF">2015-06-05T18:17:20Z</dcterms:created>
  <dcterms:modified xsi:type="dcterms:W3CDTF">2026-01-04T16:58:29Z</dcterms:modified>
</cp:coreProperties>
</file>